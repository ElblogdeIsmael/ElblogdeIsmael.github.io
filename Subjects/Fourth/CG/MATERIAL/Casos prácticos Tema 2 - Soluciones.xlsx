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9ad0d7958450a4/Asignaturas de Costes/GADE/Contabilidad de Gestión/Curso 2022-23/Casos prácticos/Tema 2/"/>
    </mc:Choice>
  </mc:AlternateContent>
  <xr:revisionPtr revIDLastSave="309" documentId="11_D9D7DF88691BF63A39600491325DAC7984BC54DA" xr6:coauthVersionLast="47" xr6:coauthVersionMax="47" xr10:uidLastSave="{F154DDAF-43BC-4656-A1DF-583EAF0D4F1D}"/>
  <bookViews>
    <workbookView xWindow="-110" yWindow="-110" windowWidth="19420" windowHeight="11500" xr2:uid="{00000000-000D-0000-FFFF-FFFF00000000}"/>
  </bookViews>
  <sheets>
    <sheet name="2.1." sheetId="1" r:id="rId1"/>
    <sheet name="2.2" sheetId="4" r:id="rId2"/>
    <sheet name="2.3." sheetId="5" r:id="rId3"/>
    <sheet name="2.4." sheetId="6" r:id="rId4"/>
    <sheet name="2.5.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" l="1"/>
  <c r="I11" i="7"/>
  <c r="H26" i="7"/>
  <c r="G26" i="7"/>
  <c r="B26" i="7"/>
  <c r="F25" i="7"/>
  <c r="I25" i="7" s="1"/>
  <c r="F24" i="7"/>
  <c r="I24" i="7" s="1"/>
  <c r="F23" i="7"/>
  <c r="I23" i="7" s="1"/>
  <c r="F22" i="7"/>
  <c r="I22" i="7" s="1"/>
  <c r="F21" i="7"/>
  <c r="I21" i="7" s="1"/>
  <c r="F20" i="7"/>
  <c r="I20" i="7" s="1"/>
  <c r="F19" i="7"/>
  <c r="I19" i="7" s="1"/>
  <c r="F18" i="7"/>
  <c r="I18" i="7" s="1"/>
  <c r="F17" i="7"/>
  <c r="I17" i="7" s="1"/>
  <c r="F16" i="7"/>
  <c r="I16" i="7" s="1"/>
  <c r="F15" i="7"/>
  <c r="I15" i="7" s="1"/>
  <c r="F14" i="7"/>
  <c r="I14" i="7" s="1"/>
  <c r="F13" i="7"/>
  <c r="I13" i="7" s="1"/>
  <c r="F12" i="7"/>
  <c r="I12" i="7" s="1"/>
  <c r="F11" i="7"/>
  <c r="F10" i="7"/>
  <c r="I10" i="7" s="1"/>
  <c r="F9" i="7"/>
  <c r="I9" i="7" s="1"/>
  <c r="F8" i="7"/>
  <c r="I8" i="7" s="1"/>
  <c r="F7" i="7"/>
  <c r="I7" i="7" s="1"/>
  <c r="F6" i="7"/>
  <c r="I6" i="7" s="1"/>
  <c r="F5" i="7"/>
  <c r="I5" i="7" s="1"/>
  <c r="F4" i="7"/>
  <c r="I4" i="7" s="1"/>
  <c r="F3" i="7"/>
  <c r="I3" i="7" s="1"/>
  <c r="F2" i="7"/>
  <c r="I2" i="6"/>
  <c r="F26" i="7" l="1"/>
  <c r="I2" i="7"/>
  <c r="I26" i="7" s="1"/>
  <c r="I8" i="5"/>
  <c r="I4" i="5"/>
  <c r="I3" i="5"/>
  <c r="M4" i="4"/>
  <c r="M3" i="4"/>
  <c r="M4" i="1"/>
  <c r="M3" i="1"/>
  <c r="A51" i="1" l="1" a="1"/>
  <c r="A51" i="1" s="1"/>
  <c r="C50" i="1"/>
  <c r="A50" i="1" a="1"/>
  <c r="A50" i="1" s="1"/>
  <c r="B51" i="1" l="1"/>
  <c r="B50" i="1"/>
  <c r="C12" i="6" l="1"/>
  <c r="D12" i="6" s="1"/>
  <c r="C11" i="6"/>
  <c r="D11" i="6" s="1"/>
  <c r="H4" i="6"/>
  <c r="I4" i="6" s="1"/>
  <c r="H3" i="6"/>
  <c r="I2" i="5"/>
  <c r="H4" i="5"/>
  <c r="H3" i="5"/>
  <c r="I3" i="6" l="1"/>
  <c r="I6" i="6" s="1"/>
  <c r="I5" i="6" s="1"/>
  <c r="I6" i="5"/>
  <c r="L4" i="4"/>
  <c r="L3" i="4"/>
  <c r="I5" i="5" l="1"/>
  <c r="E12" i="6"/>
  <c r="E11" i="6"/>
  <c r="H4" i="4"/>
  <c r="F4" i="4" a="1"/>
  <c r="F4" i="4" s="1"/>
  <c r="L4" i="1"/>
  <c r="L3" i="1"/>
  <c r="H4" i="1"/>
  <c r="F4" i="1" a="1"/>
  <c r="F4" i="1" s="1"/>
  <c r="M6" i="1" l="1"/>
  <c r="M5" i="1" s="1"/>
  <c r="M6" i="4"/>
  <c r="M5" i="4" s="1"/>
  <c r="G4" i="4"/>
  <c r="G4" i="1"/>
</calcChain>
</file>

<file path=xl/sharedStrings.xml><?xml version="1.0" encoding="utf-8"?>
<sst xmlns="http://schemas.openxmlformats.org/spreadsheetml/2006/main" count="149" uniqueCount="96">
  <si>
    <t>MES</t>
  </si>
  <si>
    <t>C. I. F.</t>
  </si>
  <si>
    <t>HORAS M.O.D.</t>
  </si>
  <si>
    <t>b</t>
  </si>
  <si>
    <t>a</t>
  </si>
  <si>
    <t>R2</t>
  </si>
  <si>
    <t>Max</t>
  </si>
  <si>
    <t>Min</t>
  </si>
  <si>
    <t>HMOD</t>
  </si>
  <si>
    <t>CIF</t>
  </si>
  <si>
    <t>COSTES DE MANTENIMIENTO</t>
  </si>
  <si>
    <t>HORAS MAQUINA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</si>
  <si>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</si>
  <si>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</si>
  <si>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</si>
  <si>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</si>
  <si>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</si>
  <si>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</si>
  <si>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</si>
  <si>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</si>
  <si>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</si>
  <si>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</si>
  <si>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</si>
  <si>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</si>
  <si>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VALORES EXTREMOS</t>
  </si>
  <si>
    <t>H-M</t>
  </si>
  <si>
    <t>CM = 34.013,49 € + 18,95 € * H-M</t>
  </si>
  <si>
    <t>CM = 33.500 € + 20 € * H-M</t>
  </si>
  <si>
    <t>CIF = 136.500,64 € + 25,64 € * HMOD</t>
  </si>
  <si>
    <t>CIF = 140.000 € + 25 € * HMOD</t>
  </si>
  <si>
    <t>Costes de mantenimiento</t>
  </si>
  <si>
    <t>Junio de 20X0</t>
  </si>
  <si>
    <t>Julio de 20X0</t>
  </si>
  <si>
    <t>Agosto de 20X0</t>
  </si>
  <si>
    <t>Septiembre de 20X0</t>
  </si>
  <si>
    <t>Octubre de 20X0</t>
  </si>
  <si>
    <t>Noviembre de 20X0</t>
  </si>
  <si>
    <t>Diciembre de 20X0</t>
  </si>
  <si>
    <t>Enero de 20X1</t>
  </si>
  <si>
    <t>Febrero de 20X1</t>
  </si>
  <si>
    <t>Marzo de 20X1</t>
  </si>
  <si>
    <t>Abril de 20X1</t>
  </si>
  <si>
    <t>Mayo de 20X1</t>
  </si>
  <si>
    <t>Costes del lugar de impregnación</t>
  </si>
  <si>
    <t>Metros cuadrados de tejido tratado</t>
  </si>
  <si>
    <t>M2</t>
  </si>
  <si>
    <t>Mes</t>
  </si>
  <si>
    <t>Costes del lugar</t>
  </si>
  <si>
    <t>Horas-máquina aplicadas</t>
  </si>
  <si>
    <t>enero</t>
  </si>
  <si>
    <t>febrero</t>
  </si>
  <si>
    <t>marzo</t>
  </si>
  <si>
    <t>abril</t>
  </si>
  <si>
    <t>mayo</t>
  </si>
  <si>
    <t>junio</t>
  </si>
  <si>
    <t>CM = 150 € + 1,25 € * H-M</t>
  </si>
  <si>
    <t>Previsiones</t>
  </si>
  <si>
    <t>Producción</t>
  </si>
  <si>
    <t>Consumo unitario</t>
  </si>
  <si>
    <t>Horas-máquina</t>
  </si>
  <si>
    <t>Coste previsto</t>
  </si>
  <si>
    <t>Coste variable de impregnación</t>
  </si>
  <si>
    <t>MÍNIMOS CUADRADOS</t>
  </si>
  <si>
    <t>Concepto</t>
  </si>
  <si>
    <t>Importe</t>
  </si>
  <si>
    <t>Clases de Coste</t>
  </si>
  <si>
    <t>Totales</t>
  </si>
  <si>
    <t>Costes de estructura</t>
  </si>
  <si>
    <t xml:space="preserve">Costes de puesta en marcha </t>
  </si>
  <si>
    <t>Costes variables</t>
  </si>
  <si>
    <t>Agua</t>
  </si>
  <si>
    <t>Alquiler</t>
  </si>
  <si>
    <t>Alumbrado</t>
  </si>
  <si>
    <t>Asesorías</t>
  </si>
  <si>
    <t>Combustible</t>
  </si>
  <si>
    <t>Comunicaciones</t>
  </si>
  <si>
    <t>Costes financieros</t>
  </si>
  <si>
    <t>Dirección</t>
  </si>
  <si>
    <t>Energía eléctrica</t>
  </si>
  <si>
    <t>Gas</t>
  </si>
  <si>
    <t>Informes</t>
  </si>
  <si>
    <t>Mano de obra directa</t>
  </si>
  <si>
    <t>Material de oficina</t>
  </si>
  <si>
    <t>Personal subalterno</t>
  </si>
  <si>
    <t>Personal técnico</t>
  </si>
  <si>
    <t>Portes</t>
  </si>
  <si>
    <t>Seguros</t>
  </si>
  <si>
    <t>Suscripciones</t>
  </si>
  <si>
    <t>Teléfono</t>
  </si>
  <si>
    <t>Tributos</t>
  </si>
  <si>
    <t>Total</t>
  </si>
  <si>
    <t>Amortización de maquinaria</t>
  </si>
  <si>
    <t>Amortización de mobiliario de oficina</t>
  </si>
  <si>
    <t>Análisis químicos</t>
  </si>
  <si>
    <t>Personal administrativo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</si>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</sst>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#,##0\ &quot;€&quot;;[Red]\-#,##0\ &quot;€&quot;"/>
    <numFmt numFmtId="164" formatCode="#,##0.00\ &quot;€&quot;"/>
    <numFmt numFmtId="165" formatCode="#,##0\ &quot;€&quot;"/>
    <numFmt numFmtId="166" formatCode="#,##0\ &quot;horas&quot;"/>
    <numFmt numFmtId="167" formatCode="#,##0\ &quot;h-m&quot;"/>
    <numFmt numFmtId="168" formatCode="#,##0.00\ &quot;€/h-m&quot;"/>
    <numFmt numFmtId="169" formatCode="#,##0\ &quot;u.c.&quot;"/>
    <numFmt numFmtId="170" formatCode="#,##0.00\ &quot;h-m/u.c.&quot;"/>
    <numFmt numFmtId="171" formatCode="#,##0.00\ &quot;€/HMOD&quot;"/>
    <numFmt numFmtId="172" formatCode="#,##0\ &quot;m²&quot;"/>
    <numFmt numFmtId="173" formatCode="#,##0.00\ &quot;€/m²&quot;"/>
  </numFmts>
  <fonts count="15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Gadugi"/>
      <family val="2"/>
    </font>
    <font>
      <b/>
      <sz val="10"/>
      <color theme="0"/>
      <name val="Gadugi"/>
      <family val="2"/>
    </font>
    <font>
      <sz val="11"/>
      <color rgb="FF000000"/>
      <name val="Gadugi"/>
      <family val="2"/>
    </font>
    <font>
      <b/>
      <i/>
      <sz val="11"/>
      <color rgb="FF000000"/>
      <name val="Gadugi"/>
      <family val="2"/>
    </font>
    <font>
      <vertAlign val="superscript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1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5" fillId="0" borderId="0" xfId="0" applyFont="1"/>
    <xf numFmtId="0" fontId="5" fillId="2" borderId="0" xfId="0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166" fontId="5" fillId="2" borderId="0" xfId="0" applyNumberFormat="1" applyFont="1" applyFill="1" applyAlignment="1">
      <alignment horizontal="center" vertical="center" wrapText="1"/>
    </xf>
    <xf numFmtId="0" fontId="5" fillId="3" borderId="0" xfId="0" applyFont="1" applyFill="1"/>
    <xf numFmtId="0" fontId="5" fillId="5" borderId="0" xfId="0" applyFont="1" applyFill="1"/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6" fontId="5" fillId="5" borderId="1" xfId="0" applyNumberFormat="1" applyFont="1" applyFill="1" applyBorder="1"/>
    <xf numFmtId="164" fontId="5" fillId="5" borderId="1" xfId="0" applyNumberFormat="1" applyFont="1" applyFill="1" applyBorder="1"/>
    <xf numFmtId="164" fontId="5" fillId="3" borderId="1" xfId="0" applyNumberFormat="1" applyFont="1" applyFill="1" applyBorder="1"/>
    <xf numFmtId="10" fontId="5" fillId="3" borderId="1" xfId="0" applyNumberFormat="1" applyFont="1" applyFill="1" applyBorder="1"/>
    <xf numFmtId="0" fontId="5" fillId="5" borderId="0" xfId="0" applyFont="1" applyFill="1" applyAlignment="1">
      <alignment horizontal="center"/>
    </xf>
    <xf numFmtId="164" fontId="5" fillId="5" borderId="0" xfId="0" applyNumberFormat="1" applyFont="1" applyFill="1"/>
    <xf numFmtId="171" fontId="5" fillId="5" borderId="0" xfId="0" applyNumberFormat="1" applyFont="1" applyFill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/>
    <xf numFmtId="0" fontId="8" fillId="2" borderId="0" xfId="0" applyFont="1" applyFill="1" applyAlignment="1">
      <alignment horizontal="center" vertical="center" wrapText="1"/>
    </xf>
    <xf numFmtId="167" fontId="5" fillId="2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167" fontId="5" fillId="5" borderId="1" xfId="0" applyNumberFormat="1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6" fontId="5" fillId="0" borderId="1" xfId="0" applyNumberFormat="1" applyFont="1" applyBorder="1" applyAlignment="1">
      <alignment horizontal="center" vertical="center" wrapText="1"/>
    </xf>
    <xf numFmtId="164" fontId="9" fillId="6" borderId="0" xfId="0" applyNumberFormat="1" applyFont="1" applyFill="1"/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8" fontId="5" fillId="5" borderId="0" xfId="0" applyNumberFormat="1" applyFont="1" applyFill="1"/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/>
    <xf numFmtId="0" fontId="6" fillId="5" borderId="1" xfId="0" applyFont="1" applyFill="1" applyBorder="1"/>
    <xf numFmtId="169" fontId="5" fillId="0" borderId="1" xfId="0" applyNumberFormat="1" applyFont="1" applyBorder="1" applyAlignment="1">
      <alignment horizontal="center" vertical="center"/>
    </xf>
    <xf numFmtId="170" fontId="5" fillId="0" borderId="1" xfId="0" applyNumberFormat="1" applyFont="1" applyBorder="1"/>
    <xf numFmtId="167" fontId="5" fillId="0" borderId="1" xfId="0" applyNumberFormat="1" applyFont="1" applyBorder="1"/>
    <xf numFmtId="164" fontId="6" fillId="6" borderId="1" xfId="0" applyNumberFormat="1" applyFont="1" applyFill="1" applyBorder="1"/>
    <xf numFmtId="0" fontId="5" fillId="0" borderId="6" xfId="0" applyFont="1" applyBorder="1"/>
    <xf numFmtId="170" fontId="5" fillId="0" borderId="5" xfId="0" applyNumberFormat="1" applyFont="1" applyBorder="1"/>
    <xf numFmtId="0" fontId="4" fillId="0" borderId="0" xfId="0" applyFont="1"/>
    <xf numFmtId="0" fontId="3" fillId="5" borderId="2" xfId="0" applyFont="1" applyFill="1" applyBorder="1"/>
    <xf numFmtId="168" fontId="5" fillId="3" borderId="1" xfId="0" applyNumberFormat="1" applyFont="1" applyFill="1" applyBorder="1"/>
    <xf numFmtId="172" fontId="5" fillId="0" borderId="1" xfId="0" applyNumberFormat="1" applyFont="1" applyBorder="1" applyAlignment="1">
      <alignment horizontal="center" vertical="center" wrapText="1"/>
    </xf>
    <xf numFmtId="172" fontId="5" fillId="5" borderId="1" xfId="0" applyNumberFormat="1" applyFont="1" applyFill="1" applyBorder="1"/>
    <xf numFmtId="172" fontId="5" fillId="5" borderId="4" xfId="0" applyNumberFormat="1" applyFont="1" applyFill="1" applyBorder="1"/>
    <xf numFmtId="173" fontId="5" fillId="5" borderId="0" xfId="0" applyNumberFormat="1" applyFont="1" applyFill="1"/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7" xfId="1" applyFont="1" applyBorder="1" applyAlignment="1">
      <alignment vertical="center"/>
    </xf>
    <xf numFmtId="0" fontId="11" fillId="0" borderId="8" xfId="1" applyFont="1" applyBorder="1" applyAlignment="1">
      <alignment horizontal="center"/>
    </xf>
    <xf numFmtId="0" fontId="11" fillId="0" borderId="9" xfId="1" applyFont="1" applyBorder="1" applyAlignment="1">
      <alignment horizontal="center"/>
    </xf>
    <xf numFmtId="164" fontId="10" fillId="0" borderId="0" xfId="1" applyNumberFormat="1" applyFont="1"/>
    <xf numFmtId="0" fontId="2" fillId="0" borderId="0" xfId="1"/>
    <xf numFmtId="0" fontId="10" fillId="0" borderId="1" xfId="1" applyFont="1" applyBorder="1"/>
    <xf numFmtId="164" fontId="12" fillId="0" borderId="1" xfId="1" applyNumberFormat="1" applyFont="1" applyBorder="1" applyAlignment="1">
      <alignment horizontal="right" vertical="center" wrapText="1"/>
    </xf>
    <xf numFmtId="164" fontId="12" fillId="0" borderId="6" xfId="1" applyNumberFormat="1" applyFont="1" applyBorder="1" applyAlignment="1">
      <alignment horizontal="right" vertical="center" wrapText="1"/>
    </xf>
    <xf numFmtId="164" fontId="12" fillId="0" borderId="10" xfId="1" applyNumberFormat="1" applyFont="1" applyBorder="1" applyAlignment="1">
      <alignment horizontal="right" vertical="center" wrapText="1"/>
    </xf>
    <xf numFmtId="0" fontId="13" fillId="7" borderId="1" xfId="1" applyFont="1" applyFill="1" applyBorder="1" applyAlignment="1">
      <alignment vertical="center" wrapText="1"/>
    </xf>
    <xf numFmtId="164" fontId="13" fillId="7" borderId="1" xfId="1" applyNumberFormat="1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2" fontId="5" fillId="0" borderId="0" xfId="0" applyNumberFormat="1" applyFont="1"/>
    <xf numFmtId="0" fontId="1" fillId="4" borderId="1" xfId="0" applyFont="1" applyFill="1" applyBorder="1" applyAlignment="1">
      <alignment horizontal="center"/>
    </xf>
    <xf numFmtId="0" fontId="14" fillId="0" borderId="0" xfId="0" applyFont="1"/>
    <xf numFmtId="0" fontId="1" fillId="0" borderId="0" xfId="0" applyFont="1"/>
  </cellXfs>
  <cellStyles count="2">
    <cellStyle name="Normal" xfId="0" builtinId="0"/>
    <cellStyle name="Normal 2" xfId="1" xr:uid="{1BE6BDA6-F3F6-4BC0-98EA-44549F485ADD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dugi"/>
        <family val="2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dugi"/>
        <family val="2"/>
        <scheme val="none"/>
      </font>
      <numFmt numFmtId="164" formatCode="#,##0.00\ &quot;€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dugi"/>
        <family val="2"/>
        <scheme val="none"/>
      </font>
      <numFmt numFmtId="164" formatCode="#,##0.00\ &quot;€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dugi"/>
        <family val="2"/>
        <scheme val="none"/>
      </font>
      <numFmt numFmtId="164" formatCode="#,##0.00\ &quot;€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dug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adug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adug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dugi"/>
        <family val="2"/>
        <scheme val="none"/>
      </font>
      <numFmt numFmtId="164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dugi"/>
        <family val="2"/>
        <scheme val="none"/>
      </font>
    </dxf>
    <dxf>
      <font>
        <strike val="0"/>
        <outline val="0"/>
        <shadow val="0"/>
        <u val="none"/>
        <vertAlign val="baseline"/>
        <name val="Gadugi"/>
        <family val="2"/>
        <scheme val="none"/>
      </font>
    </dxf>
    <dxf>
      <fill>
        <patternFill>
          <bgColor theme="6"/>
        </patternFill>
      </fill>
    </dxf>
  </dxfs>
  <tableStyles count="1" defaultTableStyle="TableStyleMedium2" defaultPivotStyle="PivotStyleLight16">
    <tableStyle name="Invisible" pivot="0" table="0" count="0" xr9:uid="{647B8608-CEDB-4E9A-B57E-AE45F487C1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'2.1.'!$B$1</c:f>
              <c:strCache>
                <c:ptCount val="1"/>
                <c:pt idx="0">
                  <c:v>C. I. F.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5.1323594886401452E-3"/>
                  <c:y val="0.18680582742733243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'2.1.'!$C$2:$C$13</c:f>
              <c:numCache>
                <c:formatCode>#,##0\ "horas"</c:formatCode>
                <c:ptCount val="12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3300</c:v>
                </c:pt>
                <c:pt idx="4">
                  <c:v>4100</c:v>
                </c:pt>
                <c:pt idx="5">
                  <c:v>5000</c:v>
                </c:pt>
                <c:pt idx="6">
                  <c:v>6000</c:v>
                </c:pt>
                <c:pt idx="7">
                  <c:v>5000</c:v>
                </c:pt>
                <c:pt idx="8">
                  <c:v>4500</c:v>
                </c:pt>
                <c:pt idx="9">
                  <c:v>4000</c:v>
                </c:pt>
                <c:pt idx="10">
                  <c:v>3500</c:v>
                </c:pt>
                <c:pt idx="11">
                  <c:v>3000</c:v>
                </c:pt>
              </c:numCache>
            </c:numRef>
          </c:xVal>
          <c:yVal>
            <c:numRef>
              <c:f>'2.1.'!$B$2:$B$13</c:f>
              <c:numCache>
                <c:formatCode>#,##0\ "€"</c:formatCode>
                <c:ptCount val="12"/>
                <c:pt idx="0">
                  <c:v>190000</c:v>
                </c:pt>
                <c:pt idx="1">
                  <c:v>200000</c:v>
                </c:pt>
                <c:pt idx="2">
                  <c:v>220000</c:v>
                </c:pt>
                <c:pt idx="3">
                  <c:v>230000</c:v>
                </c:pt>
                <c:pt idx="4">
                  <c:v>250000</c:v>
                </c:pt>
                <c:pt idx="5">
                  <c:v>260000</c:v>
                </c:pt>
                <c:pt idx="6">
                  <c:v>290000</c:v>
                </c:pt>
                <c:pt idx="7">
                  <c:v>270000</c:v>
                </c:pt>
                <c:pt idx="8">
                  <c:v>250000</c:v>
                </c:pt>
                <c:pt idx="9">
                  <c:v>240000</c:v>
                </c:pt>
                <c:pt idx="10">
                  <c:v>210000</c:v>
                </c:pt>
                <c:pt idx="11">
                  <c:v>205000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9-40B0-9B50-47F9EAC5B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28448"/>
        <c:axId val="80730368"/>
      </c:scatterChart>
      <c:valAx>
        <c:axId val="8072844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Horas de MOD</a:t>
                </a:r>
              </a:p>
            </c:rich>
          </c:tx>
          <c:overlay val="0"/>
        </c:title>
        <c:numFmt formatCode="#,##0\ &quot;h.&quot;" sourceLinked="0"/>
        <c:majorTickMark val="out"/>
        <c:minorTickMark val="none"/>
        <c:tickLblPos val="nextTo"/>
        <c:crossAx val="80730368"/>
        <c:crosses val="autoZero"/>
        <c:crossBetween val="midCat"/>
      </c:valAx>
      <c:valAx>
        <c:axId val="80730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CIF</a:t>
                </a:r>
              </a:p>
            </c:rich>
          </c:tx>
          <c:overlay val="0"/>
        </c:title>
        <c:numFmt formatCode="#,##0\ &quot;€&quot;" sourceLinked="1"/>
        <c:majorTickMark val="out"/>
        <c:minorTickMark val="none"/>
        <c:tickLblPos val="nextTo"/>
        <c:crossAx val="80728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spPr>
              <a:ln w="19050"/>
            </c:spPr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'2.1.'!$L$3:$L$4</c:f>
              <c:numCache>
                <c:formatCode>#,##0\ "horas"</c:formatCode>
                <c:ptCount val="2"/>
                <c:pt idx="0">
                  <c:v>6000</c:v>
                </c:pt>
                <c:pt idx="1">
                  <c:v>2000</c:v>
                </c:pt>
              </c:numCache>
            </c:numRef>
          </c:xVal>
          <c:yVal>
            <c:numRef>
              <c:f>'2.1.'!$M$3:$M$4</c:f>
              <c:numCache>
                <c:formatCode>#,##0.00\ "€"</c:formatCode>
                <c:ptCount val="2"/>
                <c:pt idx="0">
                  <c:v>290000</c:v>
                </c:pt>
                <c:pt idx="1">
                  <c:v>190000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E-4F75-9AAC-85BEC0D4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86048"/>
        <c:axId val="87204608"/>
      </c:scatterChart>
      <c:valAx>
        <c:axId val="8718604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Horas</a:t>
                </a:r>
                <a:r>
                  <a:rPr lang="es-ES" baseline="0"/>
                  <a:t> de MO</a:t>
                </a:r>
                <a:r>
                  <a:rPr lang="es-ES"/>
                  <a:t>D</a:t>
                </a:r>
              </a:p>
            </c:rich>
          </c:tx>
          <c:overlay val="0"/>
        </c:title>
        <c:numFmt formatCode="#,##0\ &quot;h.&quot;" sourceLinked="0"/>
        <c:majorTickMark val="out"/>
        <c:minorTickMark val="none"/>
        <c:tickLblPos val="nextTo"/>
        <c:crossAx val="87204608"/>
        <c:crosses val="autoZero"/>
        <c:crossBetween val="midCat"/>
      </c:valAx>
      <c:valAx>
        <c:axId val="87204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CIF</a:t>
                </a:r>
              </a:p>
            </c:rich>
          </c:tx>
          <c:overlay val="0"/>
        </c:title>
        <c:numFmt formatCode="#,##0\ &quot;€&quot;" sourceLinked="0"/>
        <c:majorTickMark val="out"/>
        <c:minorTickMark val="none"/>
        <c:tickLblPos val="nextTo"/>
        <c:crossAx val="87186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'2.2'!$B$1</c:f>
              <c:strCache>
                <c:ptCount val="1"/>
                <c:pt idx="0">
                  <c:v>COSTES DE MANTENIMIENTO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4265295287994484"/>
                  <c:y val="0.23881508100078094"/>
                </c:manualLayout>
              </c:layout>
              <c:numFmt formatCode="General" sourceLinked="0"/>
            </c:trendlineLbl>
          </c:trendline>
          <c:xVal>
            <c:numRef>
              <c:f>'2.2'!$C$2:$C$13</c:f>
              <c:numCache>
                <c:formatCode>#,##0\ "h-m"</c:formatCode>
                <c:ptCount val="12"/>
                <c:pt idx="0">
                  <c:v>1500</c:v>
                </c:pt>
                <c:pt idx="1">
                  <c:v>2500</c:v>
                </c:pt>
                <c:pt idx="2">
                  <c:v>2250</c:v>
                </c:pt>
                <c:pt idx="3">
                  <c:v>3500</c:v>
                </c:pt>
                <c:pt idx="4">
                  <c:v>3000</c:v>
                </c:pt>
                <c:pt idx="5">
                  <c:v>3100</c:v>
                </c:pt>
                <c:pt idx="6">
                  <c:v>3300</c:v>
                </c:pt>
                <c:pt idx="7">
                  <c:v>2000</c:v>
                </c:pt>
                <c:pt idx="8">
                  <c:v>1700</c:v>
                </c:pt>
                <c:pt idx="9">
                  <c:v>2100</c:v>
                </c:pt>
                <c:pt idx="10">
                  <c:v>2750</c:v>
                </c:pt>
                <c:pt idx="11">
                  <c:v>2900</c:v>
                </c:pt>
              </c:numCache>
            </c:numRef>
          </c:xVal>
          <c:yVal>
            <c:numRef>
              <c:f>'2.2'!$B$2:$B$13</c:f>
              <c:numCache>
                <c:formatCode>#,##0\ "€"</c:formatCode>
                <c:ptCount val="12"/>
                <c:pt idx="0">
                  <c:v>63500</c:v>
                </c:pt>
                <c:pt idx="1">
                  <c:v>76250</c:v>
                </c:pt>
                <c:pt idx="2">
                  <c:v>72750</c:v>
                </c:pt>
                <c:pt idx="3">
                  <c:v>103500</c:v>
                </c:pt>
                <c:pt idx="4">
                  <c:v>93750</c:v>
                </c:pt>
                <c:pt idx="5">
                  <c:v>92000</c:v>
                </c:pt>
                <c:pt idx="6">
                  <c:v>89500</c:v>
                </c:pt>
                <c:pt idx="7">
                  <c:v>71250</c:v>
                </c:pt>
                <c:pt idx="8">
                  <c:v>67500</c:v>
                </c:pt>
                <c:pt idx="9">
                  <c:v>75000</c:v>
                </c:pt>
                <c:pt idx="10">
                  <c:v>89000</c:v>
                </c:pt>
                <c:pt idx="11">
                  <c:v>94000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AE-4E7A-A057-14E95BF7E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67520"/>
        <c:axId val="87469440"/>
      </c:scatterChart>
      <c:valAx>
        <c:axId val="8746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HORAS</a:t>
                </a:r>
                <a:r>
                  <a:rPr lang="es-ES" baseline="0"/>
                  <a:t> MÁQUINA</a:t>
                </a:r>
                <a:endParaRPr lang="es-ES"/>
              </a:p>
            </c:rich>
          </c:tx>
          <c:overlay val="0"/>
        </c:title>
        <c:numFmt formatCode="#,##0\ &quot;h-m&quot;" sourceLinked="0"/>
        <c:majorTickMark val="out"/>
        <c:minorTickMark val="none"/>
        <c:tickLblPos val="nextTo"/>
        <c:crossAx val="87469440"/>
        <c:crosses val="autoZero"/>
        <c:crossBetween val="midCat"/>
      </c:valAx>
      <c:valAx>
        <c:axId val="87469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COSTES</a:t>
                </a:r>
                <a:r>
                  <a:rPr lang="es-ES" baseline="0"/>
                  <a:t> DE MANTENIMIENTO</a:t>
                </a:r>
                <a:endParaRPr lang="es-ES"/>
              </a:p>
            </c:rich>
          </c:tx>
          <c:overlay val="0"/>
        </c:title>
        <c:numFmt formatCode="#,##0\ &quot;€&quot;" sourceLinked="1"/>
        <c:majorTickMark val="out"/>
        <c:minorTickMark val="none"/>
        <c:tickLblPos val="nextTo"/>
        <c:crossAx val="874675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'2.2'!$M$2</c:f>
              <c:strCache>
                <c:ptCount val="1"/>
                <c:pt idx="0">
                  <c:v>Costes de mantenimiento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8.426445595655721E-2"/>
                  <c:y val="1.4113409964427453E-2"/>
                </c:manualLayout>
              </c:layout>
              <c:numFmt formatCode="General" sourceLinked="0"/>
            </c:trendlineLbl>
          </c:trendline>
          <c:xVal>
            <c:numRef>
              <c:f>'2.2'!$L$3:$L$4</c:f>
              <c:numCache>
                <c:formatCode>#,##0\ "h-m"</c:formatCode>
                <c:ptCount val="2"/>
                <c:pt idx="0">
                  <c:v>3500</c:v>
                </c:pt>
                <c:pt idx="1">
                  <c:v>1500</c:v>
                </c:pt>
              </c:numCache>
            </c:numRef>
          </c:xVal>
          <c:yVal>
            <c:numRef>
              <c:f>'2.2'!$M$3:$M$4</c:f>
              <c:numCache>
                <c:formatCode>#,##0.00\ "€"</c:formatCode>
                <c:ptCount val="2"/>
                <c:pt idx="0">
                  <c:v>103500</c:v>
                </c:pt>
                <c:pt idx="1">
                  <c:v>63500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6A-4E7D-8D8E-7AD874B31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33344"/>
        <c:axId val="88635264"/>
      </c:scatterChart>
      <c:valAx>
        <c:axId val="8863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HORAS</a:t>
                </a:r>
                <a:r>
                  <a:rPr lang="es-ES" baseline="0"/>
                  <a:t> MÁQUINA</a:t>
                </a:r>
                <a:endParaRPr lang="es-ES"/>
              </a:p>
            </c:rich>
          </c:tx>
          <c:overlay val="0"/>
        </c:title>
        <c:numFmt formatCode="#,##0\ &quot;h-m&quot;" sourceLinked="0"/>
        <c:majorTickMark val="out"/>
        <c:minorTickMark val="none"/>
        <c:tickLblPos val="nextTo"/>
        <c:crossAx val="88635264"/>
        <c:crosses val="autoZero"/>
        <c:crossBetween val="midCat"/>
      </c:valAx>
      <c:valAx>
        <c:axId val="88635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COSTES DE MANTENIMIENTO</a:t>
                </a:r>
              </a:p>
            </c:rich>
          </c:tx>
          <c:overlay val="0"/>
        </c:title>
        <c:numFmt formatCode="#,##0\ &quot;€&quot;" sourceLinked="0"/>
        <c:majorTickMark val="out"/>
        <c:minorTickMark val="none"/>
        <c:tickLblPos val="nextTo"/>
        <c:crossAx val="88633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'2.3.'!$I$2</c:f>
              <c:strCache>
                <c:ptCount val="1"/>
                <c:pt idx="0">
                  <c:v>Costes del lugar de impregnación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'2.3.'!$H$3:$H$4</c:f>
              <c:numCache>
                <c:formatCode>#,##0\ "m²"</c:formatCode>
                <c:ptCount val="2"/>
                <c:pt idx="0">
                  <c:v>25000</c:v>
                </c:pt>
                <c:pt idx="1">
                  <c:v>10000</c:v>
                </c:pt>
              </c:numCache>
            </c:numRef>
          </c:xVal>
          <c:yVal>
            <c:numRef>
              <c:f>'2.3.'!$I$3:$I$4</c:f>
              <c:numCache>
                <c:formatCode>#,##0.00\ "€"</c:formatCode>
                <c:ptCount val="2"/>
                <c:pt idx="0">
                  <c:v>990000</c:v>
                </c:pt>
                <c:pt idx="1">
                  <c:v>645000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77-433F-A54C-C4024D459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33344"/>
        <c:axId val="88635264"/>
      </c:scatterChart>
      <c:valAx>
        <c:axId val="8863334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Metros cuadrados de tejido tratado</a:t>
                </a:r>
              </a:p>
            </c:rich>
          </c:tx>
          <c:overlay val="0"/>
        </c:title>
        <c:numFmt formatCode="#,##0\ &quot;m²&quot;" sourceLinked="0"/>
        <c:majorTickMark val="out"/>
        <c:minorTickMark val="none"/>
        <c:tickLblPos val="nextTo"/>
        <c:crossAx val="88635264"/>
        <c:crosses val="autoZero"/>
        <c:crossBetween val="midCat"/>
      </c:valAx>
      <c:valAx>
        <c:axId val="88635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Costes del</a:t>
                </a:r>
                <a:r>
                  <a:rPr lang="es-ES" baseline="0"/>
                  <a:t> lugar de impregnación</a:t>
                </a:r>
                <a:endParaRPr lang="es-ES"/>
              </a:p>
            </c:rich>
          </c:tx>
          <c:overlay val="0"/>
        </c:title>
        <c:numFmt formatCode="#,##0\ &quot;€&quot;" sourceLinked="0"/>
        <c:majorTickMark val="out"/>
        <c:minorTickMark val="none"/>
        <c:tickLblPos val="nextTo"/>
        <c:crossAx val="88633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'2.4.'!$I$2</c:f>
              <c:strCache>
                <c:ptCount val="1"/>
                <c:pt idx="0">
                  <c:v>Costes del lugar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'2.4.'!$H$3:$H$4</c:f>
              <c:numCache>
                <c:formatCode>#,##0\ "h-m"</c:formatCode>
                <c:ptCount val="2"/>
                <c:pt idx="0">
                  <c:v>1320</c:v>
                </c:pt>
                <c:pt idx="1">
                  <c:v>1000</c:v>
                </c:pt>
              </c:numCache>
            </c:numRef>
          </c:xVal>
          <c:yVal>
            <c:numRef>
              <c:f>'2.4.'!$I$3:$I$4</c:f>
              <c:numCache>
                <c:formatCode>#,##0.00\ "€"</c:formatCode>
                <c:ptCount val="2"/>
                <c:pt idx="0">
                  <c:v>1800</c:v>
                </c:pt>
                <c:pt idx="1">
                  <c:v>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E8-418F-8D7E-E18C2F25B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33344"/>
        <c:axId val="88635264"/>
      </c:scatterChart>
      <c:valAx>
        <c:axId val="8863334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Número de horas-máquina</a:t>
                </a:r>
              </a:p>
            </c:rich>
          </c:tx>
          <c:overlay val="0"/>
        </c:title>
        <c:numFmt formatCode="#,##0\ &quot;h-m&quot;" sourceLinked="0"/>
        <c:majorTickMark val="out"/>
        <c:minorTickMark val="none"/>
        <c:tickLblPos val="nextTo"/>
        <c:crossAx val="88635264"/>
        <c:crosses val="autoZero"/>
        <c:crossBetween val="midCat"/>
      </c:valAx>
      <c:valAx>
        <c:axId val="88635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Costes del</a:t>
                </a:r>
                <a:r>
                  <a:rPr lang="es-ES" baseline="0"/>
                  <a:t> lugar</a:t>
                </a:r>
                <a:endParaRPr lang="es-ES"/>
              </a:p>
            </c:rich>
          </c:tx>
          <c:overlay val="0"/>
        </c:title>
        <c:numFmt formatCode="#,##0\ &quot;€&quot;" sourceLinked="0"/>
        <c:majorTickMark val="out"/>
        <c:minorTickMark val="none"/>
        <c:tickLblPos val="nextTo"/>
        <c:crossAx val="88633344"/>
        <c:crossesAt val="0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18</xdr:row>
      <xdr:rowOff>18227</xdr:rowOff>
    </xdr:from>
    <xdr:to>
      <xdr:col>9</xdr:col>
      <xdr:colOff>685800</xdr:colOff>
      <xdr:row>41</xdr:row>
      <xdr:rowOff>129756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819149</xdr:colOff>
      <xdr:row>12</xdr:row>
      <xdr:rowOff>157161</xdr:rowOff>
    </xdr:from>
    <xdr:to>
      <xdr:col>17</xdr:col>
      <xdr:colOff>742949</xdr:colOff>
      <xdr:row>35</xdr:row>
      <xdr:rowOff>38099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13</xdr:row>
      <xdr:rowOff>161925</xdr:rowOff>
    </xdr:from>
    <xdr:to>
      <xdr:col>9</xdr:col>
      <xdr:colOff>666750</xdr:colOff>
      <xdr:row>37</xdr:row>
      <xdr:rowOff>76200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190499</xdr:colOff>
      <xdr:row>13</xdr:row>
      <xdr:rowOff>166687</xdr:rowOff>
    </xdr:from>
    <xdr:to>
      <xdr:col>18</xdr:col>
      <xdr:colOff>76200</xdr:colOff>
      <xdr:row>37</xdr:row>
      <xdr:rowOff>66675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8</xdr:col>
      <xdr:colOff>685801</xdr:colOff>
      <xdr:row>44</xdr:row>
      <xdr:rowOff>80963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B886B6E2-AF56-4C54-B24B-FF0BDEEAD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15</xdr:row>
      <xdr:rowOff>19050</xdr:rowOff>
    </xdr:from>
    <xdr:to>
      <xdr:col>10</xdr:col>
      <xdr:colOff>200026</xdr:colOff>
      <xdr:row>38</xdr:row>
      <xdr:rowOff>100013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61CA0930-218C-4CC3-A97D-BA73D862D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9CE2F-B61C-4122-AB91-19B2C3E3A325}" name="Tabla1" displayName="Tabla1" ref="A1:B25" totalsRowShown="0" headerRowDxfId="12">
  <autoFilter ref="A1:B25" xr:uid="{013E8569-2E2F-4D1B-B3E5-17FCB6743C3C}"/>
  <sortState xmlns:xlrd2="http://schemas.microsoft.com/office/spreadsheetml/2017/richdata2" ref="A2:B25">
    <sortCondition ref="A1:A25"/>
  </sortState>
  <tableColumns count="2">
    <tableColumn id="1" xr3:uid="{F1077782-0F12-4701-87D1-8D8F071EE6CD}" name="Concepto" dataDxfId="11"/>
    <tableColumn id="2" xr3:uid="{6FB726EC-BA6D-4EC5-ABD2-93B911B9F879}" name="Importe" dataDxfId="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144FF-63E4-467A-BE5C-917399FB667E}" name="Tabla2" displayName="Tabla2" ref="E1:I25" totalsRowShown="0" headerRowDxfId="9" dataDxfId="7" headerRowBorderDxfId="8" tableBorderDxfId="6" totalsRowBorderDxfId="5">
  <autoFilter ref="E1:I25" xr:uid="{9D3625F1-6733-4E56-88CE-13F3437EA80C}"/>
  <sortState xmlns:xlrd2="http://schemas.microsoft.com/office/spreadsheetml/2017/richdata2" ref="E2:I25">
    <sortCondition ref="E1:E25"/>
  </sortState>
  <tableColumns count="5">
    <tableColumn id="1" xr3:uid="{03C79659-7AC7-4F51-9FDC-37F81DE6D8D8}" name="Clases de Coste" dataDxfId="4"/>
    <tableColumn id="2" xr3:uid="{0B77694D-1E02-408A-8B00-D704BABACFB5}" name="Totales" dataDxfId="3">
      <calculatedColumnFormula>_xlfn.XLOOKUP(Tabla2[[#This Row],[Clases de Coste]],Tabla1[Concepto],Tabla1[Importe])</calculatedColumnFormula>
    </tableColumn>
    <tableColumn id="3" xr3:uid="{71DAC7E1-0A69-42AF-BBBB-3297B0392C1C}" name="Costes de estructura" dataDxfId="2"/>
    <tableColumn id="4" xr3:uid="{BAA87BE9-308B-4A02-8747-D6FB1B3DD21E}" name="Costes de puesta en marcha " dataDxfId="1"/>
    <tableColumn id="5" xr3:uid="{86FA7EC8-424F-4D91-8DED-7C2222825C64}" name="Costes variables" dataDxfId="0">
      <calculatedColumnFormula>Tabla2[[#This Row],[Totales]]-Tabla2[[#This Row],[Costes de estructura]]-Tabla2[[#This Row],[Costes de puesta en marcha ]]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showGridLines="0" tabSelected="1" topLeftCell="C1" zoomScale="112" zoomScaleNormal="112" workbookViewId="0">
      <selection activeCell="H13" sqref="H13"/>
    </sheetView>
  </sheetViews>
  <sheetFormatPr baseColWidth="10" defaultColWidth="11" defaultRowHeight="14.5" x14ac:dyDescent="0.35"/>
  <cols>
    <col min="1" max="1" width="11.08203125" style="2" bestFit="1" customWidth="1"/>
    <col min="2" max="2" width="11.83203125" style="2" bestFit="1" customWidth="1"/>
    <col min="3" max="3" width="18.25" style="2" customWidth="1"/>
    <col min="4" max="4" width="11.08203125" style="2" bestFit="1" customWidth="1"/>
    <col min="5" max="5" width="11" style="2"/>
    <col min="6" max="6" width="11.25" style="2" bestFit="1" customWidth="1"/>
    <col min="7" max="7" width="12.75" style="2" bestFit="1" customWidth="1"/>
    <col min="8" max="8" width="11.08203125" style="2" bestFit="1" customWidth="1"/>
    <col min="9" max="11" width="11" style="2"/>
    <col min="12" max="12" width="12.08203125" style="2" bestFit="1" customWidth="1"/>
    <col min="13" max="13" width="14.75" style="2" bestFit="1" customWidth="1"/>
    <col min="14" max="16384" width="11" style="2"/>
  </cols>
  <sheetData>
    <row r="1" spans="1:13" x14ac:dyDescent="0.35">
      <c r="A1" s="1" t="s">
        <v>0</v>
      </c>
      <c r="B1" s="1" t="s">
        <v>1</v>
      </c>
      <c r="C1" s="1" t="s">
        <v>2</v>
      </c>
      <c r="D1" s="1"/>
      <c r="F1" s="65" t="s">
        <v>62</v>
      </c>
      <c r="G1" s="65"/>
      <c r="H1" s="65"/>
      <c r="K1" s="66" t="s">
        <v>24</v>
      </c>
      <c r="L1" s="66"/>
      <c r="M1" s="66"/>
    </row>
    <row r="2" spans="1:13" x14ac:dyDescent="0.35">
      <c r="A2" s="3">
        <v>1</v>
      </c>
      <c r="B2" s="4">
        <v>190000</v>
      </c>
      <c r="C2" s="5">
        <v>2000</v>
      </c>
      <c r="D2" s="4"/>
      <c r="F2" s="6"/>
      <c r="G2" s="6"/>
      <c r="H2" s="6"/>
      <c r="K2" s="7"/>
      <c r="L2" s="8" t="s">
        <v>8</v>
      </c>
      <c r="M2" s="8" t="s">
        <v>9</v>
      </c>
    </row>
    <row r="3" spans="1:13" ht="16.5" x14ac:dyDescent="0.35">
      <c r="A3" s="3">
        <v>2</v>
      </c>
      <c r="B3" s="4">
        <v>200000</v>
      </c>
      <c r="C3" s="5">
        <v>2500</v>
      </c>
      <c r="D3" s="4"/>
      <c r="F3" s="9" t="s">
        <v>3</v>
      </c>
      <c r="G3" s="9" t="s">
        <v>4</v>
      </c>
      <c r="H3" s="68" t="s">
        <v>95</v>
      </c>
      <c r="K3" s="8" t="s">
        <v>6</v>
      </c>
      <c r="L3" s="10">
        <f>MAX(C2:C13)</f>
        <v>6000</v>
      </c>
      <c r="M3" s="11">
        <f>_xlfn.XLOOKUP(L3,C2:C13,B2:B13,FALSE)</f>
        <v>290000</v>
      </c>
    </row>
    <row r="4" spans="1:13" x14ac:dyDescent="0.35">
      <c r="A4" s="3">
        <v>3</v>
      </c>
      <c r="B4" s="4">
        <v>220000</v>
      </c>
      <c r="C4" s="5">
        <v>3000</v>
      </c>
      <c r="D4" s="4"/>
      <c r="F4" s="12">
        <f t="array" ref="F4:G4">LINEST(B2:B13,C2:C13)</f>
        <v>25.642533176549641</v>
      </c>
      <c r="G4" s="12">
        <v>136500.64393303095</v>
      </c>
      <c r="H4" s="13">
        <f>RSQ(B2:B13,C2:C13)</f>
        <v>0.94340213442063992</v>
      </c>
      <c r="K4" s="8" t="s">
        <v>7</v>
      </c>
      <c r="L4" s="10">
        <f>MIN(C2:C13)</f>
        <v>2000</v>
      </c>
      <c r="M4" s="11">
        <f>_xlfn.XLOOKUP(L4,C2:C13,B2:B13)</f>
        <v>190000</v>
      </c>
    </row>
    <row r="5" spans="1:13" x14ac:dyDescent="0.35">
      <c r="A5" s="3">
        <v>4</v>
      </c>
      <c r="B5" s="4">
        <v>230000</v>
      </c>
      <c r="C5" s="5">
        <v>3300</v>
      </c>
      <c r="D5" s="4"/>
      <c r="F5" s="6"/>
      <c r="G5" s="6"/>
      <c r="H5" s="6"/>
      <c r="K5" s="14" t="s">
        <v>4</v>
      </c>
      <c r="L5" s="7"/>
      <c r="M5" s="15">
        <f>M3-(M6*L3)</f>
        <v>140000</v>
      </c>
    </row>
    <row r="6" spans="1:13" ht="15" thickBot="1" x14ac:dyDescent="0.4">
      <c r="A6" s="3">
        <v>5</v>
      </c>
      <c r="B6" s="4">
        <v>250000</v>
      </c>
      <c r="C6" s="5">
        <v>4100</v>
      </c>
      <c r="D6" s="4"/>
      <c r="F6" s="6"/>
      <c r="G6" s="6"/>
      <c r="H6" s="6"/>
      <c r="K6" s="14" t="s">
        <v>3</v>
      </c>
      <c r="L6" s="7"/>
      <c r="M6" s="16">
        <f>(M3-M4)/(L3-L4)</f>
        <v>25</v>
      </c>
    </row>
    <row r="7" spans="1:13" ht="15" thickBot="1" x14ac:dyDescent="0.4">
      <c r="A7" s="3">
        <v>6</v>
      </c>
      <c r="B7" s="4">
        <v>260000</v>
      </c>
      <c r="C7" s="5">
        <v>5000</v>
      </c>
      <c r="D7" s="4"/>
      <c r="F7" s="17" t="s">
        <v>28</v>
      </c>
      <c r="G7" s="18"/>
      <c r="H7" s="19"/>
      <c r="K7" s="7"/>
      <c r="L7" s="7"/>
      <c r="M7" s="7"/>
    </row>
    <row r="8" spans="1:13" ht="15" thickBot="1" x14ac:dyDescent="0.4">
      <c r="A8" s="3">
        <v>7</v>
      </c>
      <c r="B8" s="4">
        <v>290000</v>
      </c>
      <c r="C8" s="5">
        <v>6000</v>
      </c>
      <c r="D8" s="4"/>
      <c r="K8" s="20" t="s">
        <v>29</v>
      </c>
      <c r="L8" s="21"/>
      <c r="M8" s="22"/>
    </row>
    <row r="9" spans="1:13" x14ac:dyDescent="0.35">
      <c r="A9" s="3">
        <v>8</v>
      </c>
      <c r="B9" s="4">
        <v>270000</v>
      </c>
      <c r="C9" s="5">
        <v>5000</v>
      </c>
      <c r="D9" s="4"/>
    </row>
    <row r="10" spans="1:13" ht="16.5" x14ac:dyDescent="0.35">
      <c r="A10" s="3">
        <v>9</v>
      </c>
      <c r="B10" s="4">
        <v>250000</v>
      </c>
      <c r="C10" s="5">
        <v>4500</v>
      </c>
      <c r="D10" s="4"/>
      <c r="E10" s="69"/>
      <c r="F10" s="67" t="str">
        <f>"CIF = "&amp;G4&amp;" € + "&amp;F4&amp;" € * HMOD"</f>
        <v>CIF = 136500,643933031 € + 25,6425331765496 € * HMOD</v>
      </c>
    </row>
    <row r="11" spans="1:13" x14ac:dyDescent="0.35">
      <c r="A11" s="3">
        <v>10</v>
      </c>
      <c r="B11" s="4">
        <v>240000</v>
      </c>
      <c r="C11" s="5">
        <v>4000</v>
      </c>
      <c r="D11" s="4"/>
    </row>
    <row r="12" spans="1:13" x14ac:dyDescent="0.35">
      <c r="A12" s="3">
        <v>11</v>
      </c>
      <c r="B12" s="4">
        <v>210000</v>
      </c>
      <c r="C12" s="5">
        <v>3500</v>
      </c>
      <c r="D12" s="4"/>
    </row>
    <row r="13" spans="1:13" x14ac:dyDescent="0.35">
      <c r="A13" s="3">
        <v>12</v>
      </c>
      <c r="B13" s="4">
        <v>205000</v>
      </c>
      <c r="C13" s="5">
        <v>3000</v>
      </c>
      <c r="D13" s="4"/>
      <c r="F13" s="70"/>
    </row>
    <row r="14" spans="1:13" x14ac:dyDescent="0.35">
      <c r="F14" s="70"/>
    </row>
    <row r="49" spans="1:3" x14ac:dyDescent="0.35">
      <c r="A49" s="45" t="s">
        <v>3</v>
      </c>
      <c r="B49" s="45" t="s">
        <v>4</v>
      </c>
      <c r="C49" s="45" t="s">
        <v>5</v>
      </c>
    </row>
    <row r="50" spans="1:3" x14ac:dyDescent="0.35">
      <c r="A50" s="2">
        <f t="array" ref="A50:B50">LINEST(B2:B13,C2:C13)</f>
        <v>25.642533176549641</v>
      </c>
      <c r="B50" s="2">
        <v>136500.64393303095</v>
      </c>
      <c r="C50" s="2">
        <f>RSQ(B2:B13,C2:C13)</f>
        <v>0.94340213442063992</v>
      </c>
    </row>
    <row r="51" spans="1:3" x14ac:dyDescent="0.35">
      <c r="A51" s="2">
        <f t="array" ref="A51:B51">LINEST(B2:B13,C2:C13)</f>
        <v>25.642533176549641</v>
      </c>
      <c r="B51" s="2">
        <v>136500.64393303095</v>
      </c>
    </row>
  </sheetData>
  <mergeCells count="2">
    <mergeCell ref="F1:H1"/>
    <mergeCell ref="K1:M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showGridLines="0" zoomScale="52" zoomScaleNormal="52" workbookViewId="0">
      <selection activeCell="F2" sqref="F2"/>
    </sheetView>
  </sheetViews>
  <sheetFormatPr baseColWidth="10" defaultColWidth="11" defaultRowHeight="14.5" x14ac:dyDescent="0.35"/>
  <cols>
    <col min="1" max="1" width="11" style="2"/>
    <col min="2" max="2" width="28.25" style="2" customWidth="1"/>
    <col min="3" max="3" width="18.25" style="2" customWidth="1"/>
    <col min="4" max="4" width="14.75" style="2" bestFit="1" customWidth="1"/>
    <col min="5" max="5" width="11" style="2"/>
    <col min="6" max="6" width="11.08203125" style="2" bestFit="1" customWidth="1"/>
    <col min="7" max="7" width="11.33203125" style="2" bestFit="1" customWidth="1"/>
    <col min="8" max="11" width="11" style="2"/>
    <col min="12" max="12" width="12" style="2" bestFit="1" customWidth="1"/>
    <col min="13" max="13" width="22" style="2" bestFit="1" customWidth="1"/>
    <col min="14" max="16384" width="11" style="2"/>
  </cols>
  <sheetData>
    <row r="1" spans="1:13" x14ac:dyDescent="0.35">
      <c r="A1" s="23" t="s">
        <v>0</v>
      </c>
      <c r="B1" s="23" t="s">
        <v>10</v>
      </c>
      <c r="C1" s="23" t="s">
        <v>11</v>
      </c>
      <c r="D1" s="23"/>
      <c r="F1" s="65" t="s">
        <v>62</v>
      </c>
      <c r="G1" s="65"/>
      <c r="H1" s="65"/>
      <c r="K1" s="66" t="s">
        <v>24</v>
      </c>
      <c r="L1" s="66"/>
      <c r="M1" s="66"/>
    </row>
    <row r="2" spans="1:13" x14ac:dyDescent="0.35">
      <c r="A2" s="3" t="s">
        <v>12</v>
      </c>
      <c r="B2" s="4">
        <v>63500</v>
      </c>
      <c r="C2" s="24">
        <v>1500</v>
      </c>
      <c r="D2" s="4"/>
      <c r="F2" s="6"/>
      <c r="G2" s="6"/>
      <c r="H2" s="6"/>
      <c r="K2" s="7"/>
      <c r="L2" s="8" t="s">
        <v>25</v>
      </c>
      <c r="M2" s="8" t="s">
        <v>30</v>
      </c>
    </row>
    <row r="3" spans="1:13" x14ac:dyDescent="0.35">
      <c r="A3" s="3" t="s">
        <v>13</v>
      </c>
      <c r="B3" s="4">
        <v>76250</v>
      </c>
      <c r="C3" s="24">
        <v>2500</v>
      </c>
      <c r="D3" s="4"/>
      <c r="F3" s="25" t="s">
        <v>3</v>
      </c>
      <c r="G3" s="25" t="s">
        <v>4</v>
      </c>
      <c r="H3" s="25" t="s">
        <v>5</v>
      </c>
      <c r="K3" s="8" t="s">
        <v>6</v>
      </c>
      <c r="L3" s="26">
        <f>MAX(C2:C13)</f>
        <v>3500</v>
      </c>
      <c r="M3" s="11">
        <f>_xlfn.XLOOKUP(L3,C2:C13,B2:B13)</f>
        <v>103500</v>
      </c>
    </row>
    <row r="4" spans="1:13" x14ac:dyDescent="0.35">
      <c r="A4" s="3" t="s">
        <v>14</v>
      </c>
      <c r="B4" s="4">
        <v>72750</v>
      </c>
      <c r="C4" s="24">
        <v>2250</v>
      </c>
      <c r="D4" s="4"/>
      <c r="F4" s="47">
        <f t="array" ref="F4:G4">LINEST(B2:B13,C2:C13)</f>
        <v>18.948957189901211</v>
      </c>
      <c r="G4" s="12">
        <v>34013.492499085238</v>
      </c>
      <c r="H4" s="13">
        <f>RSQ(B2:B13,C2:C13)</f>
        <v>0.91682077869109047</v>
      </c>
      <c r="K4" s="8" t="s">
        <v>7</v>
      </c>
      <c r="L4" s="26">
        <f>MIN(C2:C13)</f>
        <v>1500</v>
      </c>
      <c r="M4" s="11">
        <f>_xlfn.XLOOKUP(L4,C2:C13,B2:B13)</f>
        <v>63500</v>
      </c>
    </row>
    <row r="5" spans="1:13" ht="15" thickBot="1" x14ac:dyDescent="0.4">
      <c r="A5" s="3" t="s">
        <v>15</v>
      </c>
      <c r="B5" s="4">
        <v>103500</v>
      </c>
      <c r="C5" s="24">
        <v>3500</v>
      </c>
      <c r="D5" s="4"/>
      <c r="F5" s="6"/>
      <c r="G5" s="6"/>
      <c r="H5" s="6"/>
      <c r="K5" s="14" t="s">
        <v>4</v>
      </c>
      <c r="L5" s="7"/>
      <c r="M5" s="15">
        <f>M3-(M6*L3)</f>
        <v>33500</v>
      </c>
    </row>
    <row r="6" spans="1:13" ht="15" thickBot="1" x14ac:dyDescent="0.4">
      <c r="A6" s="3" t="s">
        <v>16</v>
      </c>
      <c r="B6" s="4">
        <v>93750</v>
      </c>
      <c r="C6" s="24">
        <v>3000</v>
      </c>
      <c r="D6" s="4"/>
      <c r="F6" s="17" t="s">
        <v>26</v>
      </c>
      <c r="G6" s="18"/>
      <c r="H6" s="19"/>
      <c r="K6" s="14" t="s">
        <v>3</v>
      </c>
      <c r="L6" s="7"/>
      <c r="M6" s="35">
        <f>(M3-M4)/(L3-L4)</f>
        <v>20</v>
      </c>
    </row>
    <row r="7" spans="1:13" ht="15" thickBot="1" x14ac:dyDescent="0.4">
      <c r="A7" s="3" t="s">
        <v>17</v>
      </c>
      <c r="B7" s="4">
        <v>92000</v>
      </c>
      <c r="C7" s="24">
        <v>3100</v>
      </c>
      <c r="D7" s="4"/>
      <c r="K7" s="7"/>
      <c r="L7" s="7"/>
      <c r="M7" s="7"/>
    </row>
    <row r="8" spans="1:13" ht="15" thickBot="1" x14ac:dyDescent="0.4">
      <c r="A8" s="3" t="s">
        <v>18</v>
      </c>
      <c r="B8" s="4">
        <v>89500</v>
      </c>
      <c r="C8" s="24">
        <v>3300</v>
      </c>
      <c r="D8" s="4"/>
      <c r="K8" s="20" t="s">
        <v>27</v>
      </c>
      <c r="L8" s="22"/>
      <c r="M8" s="7"/>
    </row>
    <row r="9" spans="1:13" x14ac:dyDescent="0.35">
      <c r="A9" s="3" t="s">
        <v>19</v>
      </c>
      <c r="B9" s="4">
        <v>71250</v>
      </c>
      <c r="C9" s="24">
        <v>2000</v>
      </c>
      <c r="D9" s="4"/>
    </row>
    <row r="10" spans="1:13" x14ac:dyDescent="0.35">
      <c r="A10" s="3" t="s">
        <v>20</v>
      </c>
      <c r="B10" s="4">
        <v>67500</v>
      </c>
      <c r="C10" s="24">
        <v>1700</v>
      </c>
      <c r="D10" s="4"/>
    </row>
    <row r="11" spans="1:13" x14ac:dyDescent="0.35">
      <c r="A11" s="3" t="s">
        <v>21</v>
      </c>
      <c r="B11" s="4">
        <v>75000</v>
      </c>
      <c r="C11" s="24">
        <v>2100</v>
      </c>
      <c r="D11" s="4"/>
    </row>
    <row r="12" spans="1:13" x14ac:dyDescent="0.35">
      <c r="A12" s="3" t="s">
        <v>22</v>
      </c>
      <c r="B12" s="4">
        <v>89000</v>
      </c>
      <c r="C12" s="24">
        <v>2750</v>
      </c>
      <c r="D12" s="4"/>
    </row>
    <row r="13" spans="1:13" x14ac:dyDescent="0.35">
      <c r="A13" s="3" t="s">
        <v>23</v>
      </c>
      <c r="B13" s="4">
        <v>94000</v>
      </c>
      <c r="C13" s="24">
        <v>2900</v>
      </c>
      <c r="D13" s="4"/>
    </row>
  </sheetData>
  <mergeCells count="2">
    <mergeCell ref="F1:H1"/>
    <mergeCell ref="K1:M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C901-32D8-41B4-9098-4E8470F636FE}">
  <dimension ref="A1:I13"/>
  <sheetViews>
    <sheetView topLeftCell="A4" workbookViewId="0">
      <selection activeCell="I6" sqref="I6"/>
    </sheetView>
  </sheetViews>
  <sheetFormatPr baseColWidth="10" defaultColWidth="11" defaultRowHeight="14.5" x14ac:dyDescent="0.35"/>
  <cols>
    <col min="1" max="1" width="18" style="2" customWidth="1"/>
    <col min="2" max="2" width="16.58203125" style="2" customWidth="1"/>
    <col min="3" max="3" width="11" style="2"/>
    <col min="4" max="4" width="14.08203125" style="2" customWidth="1"/>
    <col min="5" max="6" width="11" style="2"/>
    <col min="7" max="7" width="32.83203125" style="2" bestFit="1" customWidth="1"/>
    <col min="8" max="8" width="9.5" style="2" bestFit="1" customWidth="1"/>
    <col min="9" max="9" width="28.5" style="2" bestFit="1" customWidth="1"/>
    <col min="10" max="16384" width="11" style="2"/>
  </cols>
  <sheetData>
    <row r="1" spans="1:9" ht="58" x14ac:dyDescent="0.35">
      <c r="A1" s="27" t="s">
        <v>0</v>
      </c>
      <c r="B1" s="27" t="s">
        <v>43</v>
      </c>
      <c r="C1" s="27" t="s">
        <v>44</v>
      </c>
      <c r="D1" s="27"/>
      <c r="G1" s="66" t="s">
        <v>24</v>
      </c>
      <c r="H1" s="66"/>
      <c r="I1" s="66"/>
    </row>
    <row r="2" spans="1:9" x14ac:dyDescent="0.35">
      <c r="A2" s="28" t="s">
        <v>31</v>
      </c>
      <c r="B2" s="29">
        <v>840000</v>
      </c>
      <c r="C2" s="48">
        <v>20000</v>
      </c>
      <c r="D2" s="29"/>
      <c r="G2" s="7"/>
      <c r="H2" s="8" t="s">
        <v>45</v>
      </c>
      <c r="I2" s="8" t="str">
        <f>B1</f>
        <v>Costes del lugar de impregnación</v>
      </c>
    </row>
    <row r="3" spans="1:9" x14ac:dyDescent="0.35">
      <c r="A3" s="28" t="s">
        <v>32</v>
      </c>
      <c r="B3" s="29">
        <v>990000</v>
      </c>
      <c r="C3" s="48">
        <v>25000</v>
      </c>
      <c r="D3" s="29"/>
      <c r="G3" s="8" t="s">
        <v>6</v>
      </c>
      <c r="H3" s="49">
        <f>MAX(C2:C13)</f>
        <v>25000</v>
      </c>
      <c r="I3" s="11">
        <f>_xlfn.XLOOKUP(H3,C2:C13,B2:B13)</f>
        <v>990000</v>
      </c>
    </row>
    <row r="4" spans="1:9" x14ac:dyDescent="0.35">
      <c r="A4" s="28" t="s">
        <v>33</v>
      </c>
      <c r="B4" s="29">
        <v>895000</v>
      </c>
      <c r="C4" s="48">
        <v>22000</v>
      </c>
      <c r="D4" s="29"/>
      <c r="G4" s="8" t="s">
        <v>7</v>
      </c>
      <c r="H4" s="49">
        <f>MIN(C2:C13)</f>
        <v>10000</v>
      </c>
      <c r="I4" s="11">
        <f>_xlfn.XLOOKUP(H4,C2:C13,B2:B13,FALSE)</f>
        <v>645000</v>
      </c>
    </row>
    <row r="5" spans="1:9" x14ac:dyDescent="0.35">
      <c r="A5" s="28" t="s">
        <v>34</v>
      </c>
      <c r="B5" s="29">
        <v>900000</v>
      </c>
      <c r="C5" s="48">
        <v>23000</v>
      </c>
      <c r="D5" s="29"/>
      <c r="G5" s="14" t="s">
        <v>4</v>
      </c>
      <c r="H5" s="7"/>
      <c r="I5" s="15">
        <f>I3-(I6*H3)</f>
        <v>415000</v>
      </c>
    </row>
    <row r="6" spans="1:9" x14ac:dyDescent="0.35">
      <c r="A6" s="28" t="s">
        <v>35</v>
      </c>
      <c r="B6" s="29">
        <v>815000</v>
      </c>
      <c r="C6" s="48">
        <v>20000</v>
      </c>
      <c r="D6" s="29"/>
      <c r="G6" s="14" t="s">
        <v>3</v>
      </c>
      <c r="H6" s="7"/>
      <c r="I6" s="51">
        <f>(I3-I4)/(H3-H4)</f>
        <v>23</v>
      </c>
    </row>
    <row r="7" spans="1:9" ht="15" thickBot="1" x14ac:dyDescent="0.4">
      <c r="A7" s="28" t="s">
        <v>36</v>
      </c>
      <c r="B7" s="29">
        <v>755000</v>
      </c>
      <c r="C7" s="48">
        <v>19000</v>
      </c>
      <c r="D7" s="29"/>
      <c r="G7" s="7"/>
      <c r="H7" s="7"/>
      <c r="I7" s="7"/>
    </row>
    <row r="8" spans="1:9" ht="15" thickBot="1" x14ac:dyDescent="0.4">
      <c r="A8" s="28" t="s">
        <v>37</v>
      </c>
      <c r="B8" s="29">
        <v>705000</v>
      </c>
      <c r="C8" s="48">
        <v>14000</v>
      </c>
      <c r="D8" s="29"/>
      <c r="G8" s="46" t="s">
        <v>61</v>
      </c>
      <c r="H8" s="50">
        <v>2</v>
      </c>
      <c r="I8" s="30">
        <f>I6*H8</f>
        <v>46</v>
      </c>
    </row>
    <row r="9" spans="1:9" x14ac:dyDescent="0.35">
      <c r="A9" s="28" t="s">
        <v>38</v>
      </c>
      <c r="B9" s="29">
        <v>645000</v>
      </c>
      <c r="C9" s="48">
        <v>10000</v>
      </c>
      <c r="D9" s="29"/>
    </row>
    <row r="10" spans="1:9" x14ac:dyDescent="0.35">
      <c r="A10" s="28" t="s">
        <v>39</v>
      </c>
      <c r="B10" s="29">
        <v>690000</v>
      </c>
      <c r="C10" s="48">
        <v>12000</v>
      </c>
      <c r="D10" s="29"/>
    </row>
    <row r="11" spans="1:9" x14ac:dyDescent="0.35">
      <c r="A11" s="28" t="s">
        <v>40</v>
      </c>
      <c r="B11" s="29">
        <v>750000</v>
      </c>
      <c r="C11" s="48">
        <v>17000</v>
      </c>
      <c r="D11" s="29"/>
    </row>
    <row r="12" spans="1:9" x14ac:dyDescent="0.35">
      <c r="A12" s="28" t="s">
        <v>41</v>
      </c>
      <c r="B12" s="29">
        <v>715000</v>
      </c>
      <c r="C12" s="48">
        <v>16000</v>
      </c>
      <c r="D12" s="29"/>
    </row>
    <row r="13" spans="1:9" x14ac:dyDescent="0.35">
      <c r="A13" s="28" t="s">
        <v>42</v>
      </c>
      <c r="B13" s="29">
        <v>780000</v>
      </c>
      <c r="C13" s="48">
        <v>19000</v>
      </c>
      <c r="D13" s="29"/>
    </row>
  </sheetData>
  <mergeCells count="1">
    <mergeCell ref="G1:I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1676-79DC-490E-AF36-E279A9841845}">
  <dimension ref="A1:I16"/>
  <sheetViews>
    <sheetView workbookViewId="0">
      <selection activeCell="A23" sqref="A23"/>
    </sheetView>
  </sheetViews>
  <sheetFormatPr baseColWidth="10" defaultColWidth="11" defaultRowHeight="14.5" x14ac:dyDescent="0.35"/>
  <cols>
    <col min="1" max="1" width="15.25" style="2" bestFit="1" customWidth="1"/>
    <col min="2" max="2" width="12.25" style="2" bestFit="1" customWidth="1"/>
    <col min="3" max="3" width="14.83203125" style="2" bestFit="1" customWidth="1"/>
    <col min="4" max="4" width="13.08203125" style="2" bestFit="1" customWidth="1"/>
    <col min="5" max="5" width="14.58203125" style="2" bestFit="1" customWidth="1"/>
    <col min="6" max="7" width="11" style="2"/>
    <col min="8" max="8" width="15.08203125" style="2" customWidth="1"/>
    <col min="9" max="9" width="21.83203125" style="2" bestFit="1" customWidth="1"/>
    <col min="10" max="16384" width="11" style="2"/>
  </cols>
  <sheetData>
    <row r="1" spans="1:9" ht="29" x14ac:dyDescent="0.35">
      <c r="A1" s="31" t="s">
        <v>46</v>
      </c>
      <c r="B1" s="31" t="s">
        <v>47</v>
      </c>
      <c r="C1" s="31" t="s">
        <v>48</v>
      </c>
      <c r="D1" s="31"/>
      <c r="G1" s="66" t="s">
        <v>24</v>
      </c>
      <c r="H1" s="66"/>
      <c r="I1" s="66"/>
    </row>
    <row r="2" spans="1:9" x14ac:dyDescent="0.35">
      <c r="A2" s="32" t="s">
        <v>49</v>
      </c>
      <c r="B2" s="33">
        <v>1600</v>
      </c>
      <c r="C2" s="34">
        <v>1120</v>
      </c>
      <c r="D2" s="33"/>
      <c r="G2" s="7"/>
      <c r="H2" s="8" t="s">
        <v>25</v>
      </c>
      <c r="I2" s="8" t="str">
        <f>B1</f>
        <v>Costes del lugar</v>
      </c>
    </row>
    <row r="3" spans="1:9" x14ac:dyDescent="0.35">
      <c r="A3" s="32" t="s">
        <v>50</v>
      </c>
      <c r="B3" s="33">
        <v>1800</v>
      </c>
      <c r="C3" s="34">
        <v>1320</v>
      </c>
      <c r="D3" s="33"/>
      <c r="G3" s="8" t="s">
        <v>6</v>
      </c>
      <c r="H3" s="26">
        <f>MAX(C2:C7)</f>
        <v>1320</v>
      </c>
      <c r="I3" s="11">
        <f>_xlfn.XLOOKUP(H3,C2:C7,B2:B7)</f>
        <v>1800</v>
      </c>
    </row>
    <row r="4" spans="1:9" x14ac:dyDescent="0.35">
      <c r="A4" s="32" t="s">
        <v>51</v>
      </c>
      <c r="B4" s="33">
        <v>1400</v>
      </c>
      <c r="C4" s="34">
        <v>1000</v>
      </c>
      <c r="D4" s="33"/>
      <c r="G4" s="8" t="s">
        <v>7</v>
      </c>
      <c r="H4" s="26">
        <f>MIN(C2:C7)</f>
        <v>1000</v>
      </c>
      <c r="I4" s="11">
        <f>_xlfn.XLOOKUP(H4,C2:C7,B2:B7)</f>
        <v>1400</v>
      </c>
    </row>
    <row r="5" spans="1:9" x14ac:dyDescent="0.35">
      <c r="A5" s="32" t="s">
        <v>52</v>
      </c>
      <c r="B5" s="33">
        <v>1500</v>
      </c>
      <c r="C5" s="34">
        <v>1050</v>
      </c>
      <c r="D5" s="33"/>
      <c r="G5" s="14" t="s">
        <v>4</v>
      </c>
      <c r="H5" s="7"/>
      <c r="I5" s="15">
        <f>I3-(I6*H3)</f>
        <v>150</v>
      </c>
    </row>
    <row r="6" spans="1:9" x14ac:dyDescent="0.35">
      <c r="A6" s="32" t="s">
        <v>53</v>
      </c>
      <c r="B6" s="33">
        <v>1520</v>
      </c>
      <c r="C6" s="34">
        <v>1080</v>
      </c>
      <c r="D6" s="33"/>
      <c r="G6" s="14" t="s">
        <v>3</v>
      </c>
      <c r="H6" s="7"/>
      <c r="I6" s="35">
        <f>(I3-I4)/(H3-H4)</f>
        <v>1.25</v>
      </c>
    </row>
    <row r="7" spans="1:9" ht="15" thickBot="1" x14ac:dyDescent="0.4">
      <c r="A7" s="32" t="s">
        <v>54</v>
      </c>
      <c r="B7" s="33">
        <v>1450</v>
      </c>
      <c r="C7" s="34">
        <v>1020</v>
      </c>
      <c r="D7" s="33"/>
      <c r="G7" s="7"/>
      <c r="H7" s="7"/>
      <c r="I7" s="7"/>
    </row>
    <row r="8" spans="1:9" ht="15" thickBot="1" x14ac:dyDescent="0.4">
      <c r="G8" s="20" t="s">
        <v>55</v>
      </c>
      <c r="H8" s="22"/>
      <c r="I8" s="7"/>
    </row>
    <row r="10" spans="1:9" x14ac:dyDescent="0.35">
      <c r="A10" s="36" t="s">
        <v>56</v>
      </c>
      <c r="B10" s="37" t="s">
        <v>57</v>
      </c>
      <c r="C10" s="37" t="s">
        <v>58</v>
      </c>
      <c r="D10" s="37" t="s">
        <v>59</v>
      </c>
      <c r="E10" s="38" t="s">
        <v>60</v>
      </c>
    </row>
    <row r="11" spans="1:9" x14ac:dyDescent="0.35">
      <c r="A11" s="32" t="s">
        <v>20</v>
      </c>
      <c r="B11" s="39">
        <v>1100</v>
      </c>
      <c r="C11" s="40">
        <f>B16</f>
        <v>1.1000000000000001</v>
      </c>
      <c r="D11" s="41">
        <f>C11*B11</f>
        <v>1210</v>
      </c>
      <c r="E11" s="42">
        <f>I5+(I6*D11)</f>
        <v>1662.5</v>
      </c>
    </row>
    <row r="12" spans="1:9" x14ac:dyDescent="0.35">
      <c r="A12" s="32" t="s">
        <v>21</v>
      </c>
      <c r="B12" s="39">
        <v>1150</v>
      </c>
      <c r="C12" s="40">
        <f>B16</f>
        <v>1.1000000000000001</v>
      </c>
      <c r="D12" s="41">
        <f>C12*B12</f>
        <v>1265</v>
      </c>
      <c r="E12" s="42">
        <f>I5+(D12*I6)</f>
        <v>1731.25</v>
      </c>
    </row>
    <row r="16" spans="1:9" x14ac:dyDescent="0.35">
      <c r="A16" s="43" t="s">
        <v>58</v>
      </c>
      <c r="B16" s="44">
        <v>1.1000000000000001</v>
      </c>
    </row>
  </sheetData>
  <mergeCells count="1">
    <mergeCell ref="G1:I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31AB-563E-4A9F-BDA6-A0E15995DCEB}">
  <dimension ref="A1:I26"/>
  <sheetViews>
    <sheetView workbookViewId="0">
      <selection activeCell="H19" sqref="H19"/>
    </sheetView>
  </sheetViews>
  <sheetFormatPr baseColWidth="10" defaultColWidth="11" defaultRowHeight="14.5" x14ac:dyDescent="0.35"/>
  <cols>
    <col min="1" max="1" width="25.5" style="58" bestFit="1" customWidth="1"/>
    <col min="2" max="2" width="11.33203125" style="58" bestFit="1" customWidth="1"/>
    <col min="3" max="4" width="11" style="58"/>
    <col min="5" max="5" width="27.75" style="58" bestFit="1" customWidth="1"/>
    <col min="6" max="6" width="13.5" style="58" bestFit="1" customWidth="1"/>
    <col min="7" max="7" width="20.58203125" style="58" bestFit="1" customWidth="1"/>
    <col min="8" max="8" width="27.08203125" style="58" bestFit="1" customWidth="1"/>
    <col min="9" max="9" width="15.08203125" style="58" customWidth="1"/>
    <col min="10" max="16384" width="11" style="58"/>
  </cols>
  <sheetData>
    <row r="1" spans="1:9" s="52" customFormat="1" ht="14" x14ac:dyDescent="0.3">
      <c r="A1" s="52" t="s">
        <v>63</v>
      </c>
      <c r="B1" s="53" t="s">
        <v>64</v>
      </c>
      <c r="E1" s="54" t="s">
        <v>65</v>
      </c>
      <c r="F1" s="55" t="s">
        <v>66</v>
      </c>
      <c r="G1" s="55" t="s">
        <v>67</v>
      </c>
      <c r="H1" s="55" t="s">
        <v>68</v>
      </c>
      <c r="I1" s="56" t="s">
        <v>69</v>
      </c>
    </row>
    <row r="2" spans="1:9" x14ac:dyDescent="0.35">
      <c r="A2" s="52" t="s">
        <v>70</v>
      </c>
      <c r="B2" s="57">
        <v>745</v>
      </c>
      <c r="E2" s="59" t="s">
        <v>70</v>
      </c>
      <c r="F2" s="60">
        <f>_xlfn.XLOOKUP(Tabla2[[#This Row],[Clases de Coste]],Tabla1[Concepto],Tabla1[Importe])</f>
        <v>745</v>
      </c>
      <c r="G2" s="60">
        <v>45</v>
      </c>
      <c r="H2" s="60">
        <v>0</v>
      </c>
      <c r="I2" s="61">
        <f>Tabla2[[#This Row],[Totales]]-Tabla2[[#This Row],[Costes de estructura]]-Tabla2[[#This Row],[Costes de puesta en marcha ]]</f>
        <v>700</v>
      </c>
    </row>
    <row r="3" spans="1:9" x14ac:dyDescent="0.35">
      <c r="A3" s="52" t="s">
        <v>71</v>
      </c>
      <c r="B3" s="57">
        <v>5000</v>
      </c>
      <c r="E3" s="59" t="s">
        <v>71</v>
      </c>
      <c r="F3" s="60">
        <f>_xlfn.XLOOKUP(Tabla2[[#This Row],[Clases de Coste]],Tabla1[Concepto],Tabla1[Importe])</f>
        <v>5000</v>
      </c>
      <c r="G3" s="60">
        <v>5000</v>
      </c>
      <c r="H3" s="60">
        <v>0</v>
      </c>
      <c r="I3" s="61">
        <f>Tabla2[[#This Row],[Totales]]-Tabla2[[#This Row],[Costes de estructura]]-Tabla2[[#This Row],[Costes de puesta en marcha ]]</f>
        <v>0</v>
      </c>
    </row>
    <row r="4" spans="1:9" x14ac:dyDescent="0.35">
      <c r="A4" s="52" t="s">
        <v>72</v>
      </c>
      <c r="B4" s="57">
        <v>1690</v>
      </c>
      <c r="E4" s="59" t="s">
        <v>72</v>
      </c>
      <c r="F4" s="60">
        <f>_xlfn.XLOOKUP(Tabla2[[#This Row],[Clases de Coste]],Tabla1[Concepto],Tabla1[Importe])</f>
        <v>1690</v>
      </c>
      <c r="G4" s="60">
        <v>23</v>
      </c>
      <c r="H4" s="60">
        <v>0</v>
      </c>
      <c r="I4" s="61">
        <f>Tabla2[[#This Row],[Totales]]-Tabla2[[#This Row],[Costes de estructura]]-Tabla2[[#This Row],[Costes de puesta en marcha ]]</f>
        <v>1667</v>
      </c>
    </row>
    <row r="5" spans="1:9" x14ac:dyDescent="0.35">
      <c r="A5" s="52" t="s">
        <v>91</v>
      </c>
      <c r="B5" s="57">
        <v>3555</v>
      </c>
      <c r="E5" s="52" t="s">
        <v>91</v>
      </c>
      <c r="F5" s="60">
        <f>_xlfn.XLOOKUP(Tabla2[[#This Row],[Clases de Coste]],Tabla1[Concepto],Tabla1[Importe])</f>
        <v>3555</v>
      </c>
      <c r="G5" s="60">
        <v>1300</v>
      </c>
      <c r="H5" s="60">
        <v>770</v>
      </c>
      <c r="I5" s="61">
        <f>Tabla2[[#This Row],[Totales]]-Tabla2[[#This Row],[Costes de estructura]]-Tabla2[[#This Row],[Costes de puesta en marcha ]]</f>
        <v>1485</v>
      </c>
    </row>
    <row r="6" spans="1:9" x14ac:dyDescent="0.35">
      <c r="A6" s="52" t="s">
        <v>92</v>
      </c>
      <c r="B6" s="57">
        <v>1000</v>
      </c>
      <c r="E6" s="59" t="s">
        <v>92</v>
      </c>
      <c r="F6" s="60">
        <f>_xlfn.XLOOKUP(Tabla2[[#This Row],[Clases de Coste]],Tabla1[Concepto],Tabla1[Importe])</f>
        <v>1000</v>
      </c>
      <c r="G6" s="60">
        <v>1000</v>
      </c>
      <c r="H6" s="60">
        <v>0</v>
      </c>
      <c r="I6" s="61">
        <f>Tabla2[[#This Row],[Totales]]-Tabla2[[#This Row],[Costes de estructura]]-Tabla2[[#This Row],[Costes de puesta en marcha ]]</f>
        <v>0</v>
      </c>
    </row>
    <row r="7" spans="1:9" x14ac:dyDescent="0.35">
      <c r="A7" s="52" t="s">
        <v>93</v>
      </c>
      <c r="B7" s="57">
        <v>80</v>
      </c>
      <c r="E7" s="59" t="s">
        <v>93</v>
      </c>
      <c r="F7" s="60">
        <f>_xlfn.XLOOKUP(Tabla2[[#This Row],[Clases de Coste]],Tabla1[Concepto],Tabla1[Importe])</f>
        <v>80</v>
      </c>
      <c r="G7" s="60">
        <v>0</v>
      </c>
      <c r="H7" s="60">
        <v>0</v>
      </c>
      <c r="I7" s="61">
        <f>Tabla2[[#This Row],[Totales]]-Tabla2[[#This Row],[Costes de estructura]]-Tabla2[[#This Row],[Costes de puesta en marcha ]]</f>
        <v>80</v>
      </c>
    </row>
    <row r="8" spans="1:9" x14ac:dyDescent="0.35">
      <c r="A8" s="52" t="s">
        <v>73</v>
      </c>
      <c r="B8" s="57">
        <v>250</v>
      </c>
      <c r="E8" s="59" t="s">
        <v>73</v>
      </c>
      <c r="F8" s="60">
        <f>_xlfn.XLOOKUP(Tabla2[[#This Row],[Clases de Coste]],Tabla1[Concepto],Tabla1[Importe])</f>
        <v>250</v>
      </c>
      <c r="G8" s="60">
        <v>250</v>
      </c>
      <c r="H8" s="60">
        <v>0</v>
      </c>
      <c r="I8" s="61">
        <f>Tabla2[[#This Row],[Totales]]-Tabla2[[#This Row],[Costes de estructura]]-Tabla2[[#This Row],[Costes de puesta en marcha ]]</f>
        <v>0</v>
      </c>
    </row>
    <row r="9" spans="1:9" x14ac:dyDescent="0.35">
      <c r="A9" s="52" t="s">
        <v>74</v>
      </c>
      <c r="B9" s="57">
        <v>10369</v>
      </c>
      <c r="E9" s="59" t="s">
        <v>74</v>
      </c>
      <c r="F9" s="60">
        <f>_xlfn.XLOOKUP(Tabla2[[#This Row],[Clases de Coste]],Tabla1[Concepto],Tabla1[Importe])</f>
        <v>10369</v>
      </c>
      <c r="G9" s="60">
        <v>0</v>
      </c>
      <c r="H9" s="60">
        <v>4780</v>
      </c>
      <c r="I9" s="61">
        <f>Tabla2[[#This Row],[Totales]]-Tabla2[[#This Row],[Costes de estructura]]-Tabla2[[#This Row],[Costes de puesta en marcha ]]</f>
        <v>5589</v>
      </c>
    </row>
    <row r="10" spans="1:9" x14ac:dyDescent="0.35">
      <c r="A10" s="52" t="s">
        <v>75</v>
      </c>
      <c r="B10" s="57">
        <v>403</v>
      </c>
      <c r="E10" s="59" t="s">
        <v>75</v>
      </c>
      <c r="F10" s="60">
        <f>_xlfn.XLOOKUP(Tabla2[[#This Row],[Clases de Coste]],Tabla1[Concepto],Tabla1[Importe])</f>
        <v>403</v>
      </c>
      <c r="G10" s="60">
        <v>15</v>
      </c>
      <c r="H10" s="60">
        <v>0</v>
      </c>
      <c r="I10" s="61">
        <f>Tabla2[[#This Row],[Totales]]-Tabla2[[#This Row],[Costes de estructura]]-Tabla2[[#This Row],[Costes de puesta en marcha ]]</f>
        <v>388</v>
      </c>
    </row>
    <row r="11" spans="1:9" x14ac:dyDescent="0.35">
      <c r="A11" s="52" t="s">
        <v>76</v>
      </c>
      <c r="B11" s="57">
        <v>5000</v>
      </c>
      <c r="E11" s="59" t="s">
        <v>76</v>
      </c>
      <c r="F11" s="60">
        <f>_xlfn.XLOOKUP(Tabla2[[#This Row],[Clases de Coste]],Tabla1[Concepto],Tabla1[Importe])</f>
        <v>5000</v>
      </c>
      <c r="G11" s="60">
        <v>5000</v>
      </c>
      <c r="H11" s="60">
        <v>0</v>
      </c>
      <c r="I11" s="61">
        <f>Tabla2[[#This Row],[Totales]]-Tabla2[[#This Row],[Costes de estructura]]-Tabla2[[#This Row],[Costes de puesta en marcha ]]</f>
        <v>0</v>
      </c>
    </row>
    <row r="12" spans="1:9" x14ac:dyDescent="0.35">
      <c r="A12" s="52" t="s">
        <v>77</v>
      </c>
      <c r="B12" s="57">
        <v>15000</v>
      </c>
      <c r="E12" s="59" t="s">
        <v>77</v>
      </c>
      <c r="F12" s="60">
        <f>_xlfn.XLOOKUP(Tabla2[[#This Row],[Clases de Coste]],Tabla1[Concepto],Tabla1[Importe])</f>
        <v>15000</v>
      </c>
      <c r="G12" s="60">
        <v>15000</v>
      </c>
      <c r="H12" s="60">
        <v>0</v>
      </c>
      <c r="I12" s="61">
        <f>Tabla2[[#This Row],[Totales]]-Tabla2[[#This Row],[Costes de estructura]]-Tabla2[[#This Row],[Costes de puesta en marcha ]]</f>
        <v>0</v>
      </c>
    </row>
    <row r="13" spans="1:9" x14ac:dyDescent="0.35">
      <c r="A13" s="52" t="s">
        <v>78</v>
      </c>
      <c r="B13" s="57">
        <v>18005</v>
      </c>
      <c r="E13" s="59" t="s">
        <v>78</v>
      </c>
      <c r="F13" s="60">
        <f>_xlfn.XLOOKUP(Tabla2[[#This Row],[Clases de Coste]],Tabla1[Concepto],Tabla1[Importe])</f>
        <v>18005</v>
      </c>
      <c r="G13" s="60">
        <v>40</v>
      </c>
      <c r="H13" s="60">
        <v>0</v>
      </c>
      <c r="I13" s="61">
        <f>Tabla2[[#This Row],[Totales]]-Tabla2[[#This Row],[Costes de estructura]]-Tabla2[[#This Row],[Costes de puesta en marcha ]]</f>
        <v>17965</v>
      </c>
    </row>
    <row r="14" spans="1:9" x14ac:dyDescent="0.35">
      <c r="A14" s="52" t="s">
        <v>79</v>
      </c>
      <c r="B14" s="57">
        <v>127</v>
      </c>
      <c r="E14" s="59" t="s">
        <v>79</v>
      </c>
      <c r="F14" s="60">
        <f>_xlfn.XLOOKUP(Tabla2[[#This Row],[Clases de Coste]],Tabla1[Concepto],Tabla1[Importe])</f>
        <v>127</v>
      </c>
      <c r="G14" s="60">
        <v>127</v>
      </c>
      <c r="H14" s="60">
        <v>0</v>
      </c>
      <c r="I14" s="61">
        <f>Tabla2[[#This Row],[Totales]]-Tabla2[[#This Row],[Costes de estructura]]-Tabla2[[#This Row],[Costes de puesta en marcha ]]</f>
        <v>0</v>
      </c>
    </row>
    <row r="15" spans="1:9" x14ac:dyDescent="0.35">
      <c r="A15" s="52" t="s">
        <v>80</v>
      </c>
      <c r="B15" s="57">
        <v>92</v>
      </c>
      <c r="E15" s="59" t="s">
        <v>80</v>
      </c>
      <c r="F15" s="60">
        <f>_xlfn.XLOOKUP(Tabla2[[#This Row],[Clases de Coste]],Tabla1[Concepto],Tabla1[Importe])</f>
        <v>92</v>
      </c>
      <c r="G15" s="60">
        <v>0</v>
      </c>
      <c r="H15" s="60">
        <v>0</v>
      </c>
      <c r="I15" s="61">
        <f>Tabla2[[#This Row],[Totales]]-Tabla2[[#This Row],[Costes de estructura]]-Tabla2[[#This Row],[Costes de puesta en marcha ]]</f>
        <v>92</v>
      </c>
    </row>
    <row r="16" spans="1:9" x14ac:dyDescent="0.35">
      <c r="A16" s="52" t="s">
        <v>81</v>
      </c>
      <c r="B16" s="57">
        <v>121910</v>
      </c>
      <c r="E16" s="59" t="s">
        <v>81</v>
      </c>
      <c r="F16" s="60">
        <f>_xlfn.XLOOKUP(Tabla2[[#This Row],[Clases de Coste]],Tabla1[Concepto],Tabla1[Importe])</f>
        <v>121910</v>
      </c>
      <c r="G16" s="60">
        <v>3500</v>
      </c>
      <c r="H16" s="60">
        <v>45970</v>
      </c>
      <c r="I16" s="61">
        <f>Tabla2[[#This Row],[Totales]]-Tabla2[[#This Row],[Costes de estructura]]-Tabla2[[#This Row],[Costes de puesta en marcha ]]</f>
        <v>72440</v>
      </c>
    </row>
    <row r="17" spans="1:9" x14ac:dyDescent="0.35">
      <c r="A17" s="52" t="s">
        <v>82</v>
      </c>
      <c r="B17" s="57">
        <v>740</v>
      </c>
      <c r="E17" s="59" t="s">
        <v>82</v>
      </c>
      <c r="F17" s="60">
        <f>_xlfn.XLOOKUP(Tabla2[[#This Row],[Clases de Coste]],Tabla1[Concepto],Tabla1[Importe])</f>
        <v>740</v>
      </c>
      <c r="G17" s="60">
        <v>93</v>
      </c>
      <c r="H17" s="60">
        <v>0</v>
      </c>
      <c r="I17" s="61">
        <f>Tabla2[[#This Row],[Totales]]-Tabla2[[#This Row],[Costes de estructura]]-Tabla2[[#This Row],[Costes de puesta en marcha ]]</f>
        <v>647</v>
      </c>
    </row>
    <row r="18" spans="1:9" x14ac:dyDescent="0.35">
      <c r="A18" s="52" t="s">
        <v>94</v>
      </c>
      <c r="B18" s="57">
        <v>24800</v>
      </c>
      <c r="E18" s="59" t="s">
        <v>94</v>
      </c>
      <c r="F18" s="60">
        <f>_xlfn.XLOOKUP(Tabla2[[#This Row],[Clases de Coste]],Tabla1[Concepto],Tabla1[Importe])</f>
        <v>24800</v>
      </c>
      <c r="G18" s="60">
        <v>6800</v>
      </c>
      <c r="H18" s="60">
        <v>18000</v>
      </c>
      <c r="I18" s="61">
        <f>Tabla2[[#This Row],[Totales]]-Tabla2[[#This Row],[Costes de estructura]]-Tabla2[[#This Row],[Costes de puesta en marcha ]]</f>
        <v>0</v>
      </c>
    </row>
    <row r="19" spans="1:9" x14ac:dyDescent="0.35">
      <c r="A19" s="52" t="s">
        <v>83</v>
      </c>
      <c r="B19" s="57">
        <v>1200</v>
      </c>
      <c r="E19" s="59" t="s">
        <v>83</v>
      </c>
      <c r="F19" s="60">
        <f>_xlfn.XLOOKUP(Tabla2[[#This Row],[Clases de Coste]],Tabla1[Concepto],Tabla1[Importe])</f>
        <v>1200</v>
      </c>
      <c r="G19" s="60">
        <v>1200</v>
      </c>
      <c r="H19" s="60">
        <v>0</v>
      </c>
      <c r="I19" s="61">
        <f>Tabla2[[#This Row],[Totales]]-Tabla2[[#This Row],[Costes de estructura]]-Tabla2[[#This Row],[Costes de puesta en marcha ]]</f>
        <v>0</v>
      </c>
    </row>
    <row r="20" spans="1:9" x14ac:dyDescent="0.35">
      <c r="A20" s="52" t="s">
        <v>84</v>
      </c>
      <c r="B20" s="57">
        <v>9000</v>
      </c>
      <c r="E20" s="59" t="s">
        <v>84</v>
      </c>
      <c r="F20" s="60">
        <f>_xlfn.XLOOKUP(Tabla2[[#This Row],[Clases de Coste]],Tabla1[Concepto],Tabla1[Importe])</f>
        <v>9000</v>
      </c>
      <c r="G20" s="60">
        <v>9000</v>
      </c>
      <c r="H20" s="60">
        <v>0</v>
      </c>
      <c r="I20" s="61">
        <f>Tabla2[[#This Row],[Totales]]-Tabla2[[#This Row],[Costes de estructura]]-Tabla2[[#This Row],[Costes de puesta en marcha ]]</f>
        <v>0</v>
      </c>
    </row>
    <row r="21" spans="1:9" x14ac:dyDescent="0.35">
      <c r="A21" s="52" t="s">
        <v>85</v>
      </c>
      <c r="B21" s="57">
        <v>1263</v>
      </c>
      <c r="E21" s="59" t="s">
        <v>85</v>
      </c>
      <c r="F21" s="60">
        <f>_xlfn.XLOOKUP(Tabla2[[#This Row],[Clases de Coste]],Tabla1[Concepto],Tabla1[Importe])</f>
        <v>1263</v>
      </c>
      <c r="G21" s="60">
        <v>0</v>
      </c>
      <c r="H21" s="60">
        <v>0</v>
      </c>
      <c r="I21" s="61">
        <f>Tabla2[[#This Row],[Totales]]-Tabla2[[#This Row],[Costes de estructura]]-Tabla2[[#This Row],[Costes de puesta en marcha ]]</f>
        <v>1263</v>
      </c>
    </row>
    <row r="22" spans="1:9" x14ac:dyDescent="0.35">
      <c r="A22" s="52" t="s">
        <v>86</v>
      </c>
      <c r="B22" s="57">
        <v>1100</v>
      </c>
      <c r="E22" s="59" t="s">
        <v>86</v>
      </c>
      <c r="F22" s="60">
        <f>_xlfn.XLOOKUP(Tabla2[[#This Row],[Clases de Coste]],Tabla1[Concepto],Tabla1[Importe])</f>
        <v>1100</v>
      </c>
      <c r="G22" s="60">
        <v>1100</v>
      </c>
      <c r="H22" s="60">
        <v>0</v>
      </c>
      <c r="I22" s="61">
        <f>Tabla2[[#This Row],[Totales]]-Tabla2[[#This Row],[Costes de estructura]]-Tabla2[[#This Row],[Costes de puesta en marcha ]]</f>
        <v>0</v>
      </c>
    </row>
    <row r="23" spans="1:9" x14ac:dyDescent="0.35">
      <c r="A23" s="52" t="s">
        <v>87</v>
      </c>
      <c r="B23" s="57">
        <v>420</v>
      </c>
      <c r="E23" s="59" t="s">
        <v>87</v>
      </c>
      <c r="F23" s="60">
        <f>_xlfn.XLOOKUP(Tabla2[[#This Row],[Clases de Coste]],Tabla1[Concepto],Tabla1[Importe])</f>
        <v>420</v>
      </c>
      <c r="G23" s="60">
        <v>420</v>
      </c>
      <c r="H23" s="60">
        <v>0</v>
      </c>
      <c r="I23" s="61">
        <f>Tabla2[[#This Row],[Totales]]-Tabla2[[#This Row],[Costes de estructura]]-Tabla2[[#This Row],[Costes de puesta en marcha ]]</f>
        <v>0</v>
      </c>
    </row>
    <row r="24" spans="1:9" x14ac:dyDescent="0.35">
      <c r="A24" s="52" t="s">
        <v>88</v>
      </c>
      <c r="B24" s="57">
        <v>494</v>
      </c>
      <c r="E24" s="59" t="s">
        <v>88</v>
      </c>
      <c r="F24" s="60">
        <f>_xlfn.XLOOKUP(Tabla2[[#This Row],[Clases de Coste]],Tabla1[Concepto],Tabla1[Importe])</f>
        <v>494</v>
      </c>
      <c r="G24" s="60">
        <v>84</v>
      </c>
      <c r="H24" s="60">
        <v>0</v>
      </c>
      <c r="I24" s="61">
        <f>Tabla2[[#This Row],[Totales]]-Tabla2[[#This Row],[Costes de estructura]]-Tabla2[[#This Row],[Costes de puesta en marcha ]]</f>
        <v>410</v>
      </c>
    </row>
    <row r="25" spans="1:9" x14ac:dyDescent="0.35">
      <c r="A25" s="52" t="s">
        <v>89</v>
      </c>
      <c r="B25" s="57">
        <v>2810</v>
      </c>
      <c r="E25" s="59" t="s">
        <v>89</v>
      </c>
      <c r="F25" s="62">
        <f>_xlfn.XLOOKUP(Tabla2[[#This Row],[Clases de Coste]],Tabla1[Concepto],Tabla1[Importe])</f>
        <v>2810</v>
      </c>
      <c r="G25" s="62">
        <v>2810</v>
      </c>
      <c r="H25" s="62">
        <v>0</v>
      </c>
      <c r="I25" s="61">
        <f>Tabla2[[#This Row],[Totales]]-Tabla2[[#This Row],[Costes de estructura]]-Tabla2[[#This Row],[Costes de puesta en marcha ]]</f>
        <v>0</v>
      </c>
    </row>
    <row r="26" spans="1:9" x14ac:dyDescent="0.35">
      <c r="A26" s="52"/>
      <c r="B26" s="57">
        <f>SUM(B2:B25)</f>
        <v>225053</v>
      </c>
      <c r="E26" s="63" t="s">
        <v>90</v>
      </c>
      <c r="F26" s="64">
        <f>SUBTOTAL(109,Tabla2[Totales])</f>
        <v>225053</v>
      </c>
      <c r="G26" s="64">
        <f>SUBTOTAL(109,Tabla2[Costes de estructura])</f>
        <v>52807</v>
      </c>
      <c r="H26" s="64">
        <f>SUBTOTAL(109,Tabla2[[Costes de puesta en marcha ]])</f>
        <v>69520</v>
      </c>
      <c r="I26" s="64">
        <f>SUBTOTAL(109,Tabla2[Costes variables])</f>
        <v>102726</v>
      </c>
    </row>
  </sheetData>
  <conditionalFormatting sqref="F2:F26">
    <cfRule type="expression" dxfId="13" priority="1">
      <formula>F2=SUM(G2:I2)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2.1.</vt:lpstr>
      <vt:lpstr>2.2</vt:lpstr>
      <vt:lpstr>2.3.</vt:lpstr>
      <vt:lpstr>2.4.</vt:lpstr>
      <vt:lpstr>2.5.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Buendía Carrillo</dc:creator>
  <cp:lastModifiedBy>Dionisio Buendía-Carrillo</cp:lastModifiedBy>
  <dcterms:created xsi:type="dcterms:W3CDTF">2012-06-25T08:07:13Z</dcterms:created>
  <dcterms:modified xsi:type="dcterms:W3CDTF">2022-08-22T16:44:19Z</dcterms:modified>
</cp:coreProperties>
</file>