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T2_Ejercicio6_a" sheetId="1" r:id="rId4"/>
  </sheets>
  <definedNames/>
  <calcPr/>
</workbook>
</file>

<file path=xl/sharedStrings.xml><?xml version="1.0" encoding="utf-8"?>
<sst xmlns="http://schemas.openxmlformats.org/spreadsheetml/2006/main" count="16" uniqueCount="15">
  <si>
    <t>Año</t>
  </si>
  <si>
    <t>Tasa de Desempleo (Y)</t>
  </si>
  <si>
    <t>Inflación (X)</t>
  </si>
  <si>
    <t>X2:</t>
  </si>
  <si>
    <t>X2²</t>
  </si>
  <si>
    <t>X²</t>
  </si>
  <si>
    <t>y*x1</t>
  </si>
  <si>
    <t>y*x2</t>
  </si>
  <si>
    <t>x1*x2</t>
  </si>
  <si>
    <t>Matriz (X'X)</t>
  </si>
  <si>
    <t>Matriz X'Y</t>
  </si>
  <si>
    <t>Matriz (X'X)^-1</t>
  </si>
  <si>
    <t>Matriz B^</t>
  </si>
  <si>
    <t>Matrix (X`X)⁻1</t>
  </si>
  <si>
    <t>Matrix B^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</si>
</sst>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2" fontId="1" numFmtId="0" xfId="0" applyBorder="1" applyFill="1" applyFont="1"/>
    <xf borderId="0" fillId="3" fontId="1" numFmtId="0" xfId="0" applyAlignment="1" applyFill="1" applyFont="1">
      <alignment readingOrder="0"/>
    </xf>
    <xf borderId="2" fillId="3" fontId="1" numFmtId="0" xfId="0" applyAlignment="1" applyBorder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</dxfs>
  <tableStyles count="1">
    <tableStyle count="3" pivot="0" name="RelT2_Ejercicio6_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I1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RelT2_Ejercicio6_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5"/>
    <col customWidth="1" min="5" max="5" width="17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>
        <v>2006.0</v>
      </c>
      <c r="B2" s="3">
        <v>8.5</v>
      </c>
      <c r="C2" s="3">
        <v>3.52</v>
      </c>
      <c r="D2" s="3">
        <v>18614.0</v>
      </c>
      <c r="E2" s="4">
        <f t="shared" ref="E2:E11" si="1">D2*D2</f>
        <v>346480996</v>
      </c>
      <c r="F2" s="4">
        <f t="shared" ref="F2:F11" si="2">C2*C2</f>
        <v>12.3904</v>
      </c>
      <c r="G2" s="4">
        <f t="shared" ref="G2:G11" si="3">B2*C2</f>
        <v>29.92</v>
      </c>
      <c r="H2" s="4">
        <f t="shared" ref="H2:H11" si="4">B2*D2</f>
        <v>158219</v>
      </c>
      <c r="I2" s="4">
        <f t="shared" ref="I2:I11" si="5">C2*D2</f>
        <v>65521.28</v>
      </c>
    </row>
    <row r="3">
      <c r="A3" s="3">
        <v>2007.0</v>
      </c>
      <c r="B3" s="3">
        <v>8.2</v>
      </c>
      <c r="C3" s="3">
        <v>2.78</v>
      </c>
      <c r="D3" s="3">
        <v>19403.0</v>
      </c>
      <c r="E3" s="4">
        <f t="shared" si="1"/>
        <v>376476409</v>
      </c>
      <c r="F3" s="4">
        <f t="shared" si="2"/>
        <v>7.7284</v>
      </c>
      <c r="G3" s="4">
        <f t="shared" si="3"/>
        <v>22.796</v>
      </c>
      <c r="H3" s="4">
        <f t="shared" si="4"/>
        <v>159104.6</v>
      </c>
      <c r="I3" s="4">
        <f t="shared" si="5"/>
        <v>53940.34</v>
      </c>
    </row>
    <row r="4">
      <c r="A4" s="3">
        <v>2008.0</v>
      </c>
      <c r="B4" s="3">
        <v>11.3</v>
      </c>
      <c r="C4" s="3">
        <v>4.09</v>
      </c>
      <c r="D4" s="3">
        <v>19492.0</v>
      </c>
      <c r="E4" s="4">
        <f t="shared" si="1"/>
        <v>379938064</v>
      </c>
      <c r="F4" s="4">
        <f t="shared" si="2"/>
        <v>16.7281</v>
      </c>
      <c r="G4" s="4">
        <f t="shared" si="3"/>
        <v>46.217</v>
      </c>
      <c r="H4" s="4">
        <f t="shared" si="4"/>
        <v>220259.6</v>
      </c>
      <c r="I4" s="4">
        <f t="shared" si="5"/>
        <v>79722.28</v>
      </c>
    </row>
    <row r="5">
      <c r="A5" s="3">
        <v>2009.0</v>
      </c>
      <c r="B5" s="3">
        <v>17.9</v>
      </c>
      <c r="C5" s="3">
        <v>-0.28</v>
      </c>
      <c r="D5" s="3">
        <v>18719.0</v>
      </c>
      <c r="E5" s="4">
        <f t="shared" si="1"/>
        <v>350400961</v>
      </c>
      <c r="F5" s="4">
        <f t="shared" si="2"/>
        <v>0.0784</v>
      </c>
      <c r="G5" s="4">
        <f t="shared" si="3"/>
        <v>-5.012</v>
      </c>
      <c r="H5" s="4">
        <f t="shared" si="4"/>
        <v>335070.1</v>
      </c>
      <c r="I5" s="4">
        <f t="shared" si="5"/>
        <v>-5241.32</v>
      </c>
    </row>
    <row r="6">
      <c r="A6" s="3">
        <v>2010.0</v>
      </c>
      <c r="B6" s="3">
        <v>19.9</v>
      </c>
      <c r="C6" s="3">
        <v>1.8</v>
      </c>
      <c r="D6" s="3">
        <v>18706.0</v>
      </c>
      <c r="E6" s="4">
        <f t="shared" si="1"/>
        <v>349914436</v>
      </c>
      <c r="F6" s="4">
        <f t="shared" si="2"/>
        <v>3.24</v>
      </c>
      <c r="G6" s="4">
        <f t="shared" si="3"/>
        <v>35.82</v>
      </c>
      <c r="H6" s="4">
        <f t="shared" si="4"/>
        <v>372249.4</v>
      </c>
      <c r="I6" s="4">
        <f t="shared" si="5"/>
        <v>33670.8</v>
      </c>
    </row>
    <row r="7">
      <c r="A7" s="3">
        <v>2011.0</v>
      </c>
      <c r="B7" s="3">
        <v>21.4</v>
      </c>
      <c r="C7" s="3">
        <v>3.2</v>
      </c>
      <c r="D7" s="3">
        <v>18229.0</v>
      </c>
      <c r="E7" s="4">
        <f t="shared" si="1"/>
        <v>332296441</v>
      </c>
      <c r="F7" s="4">
        <f t="shared" si="2"/>
        <v>10.24</v>
      </c>
      <c r="G7" s="4">
        <f t="shared" si="3"/>
        <v>68.48</v>
      </c>
      <c r="H7" s="4">
        <f t="shared" si="4"/>
        <v>390100.6</v>
      </c>
      <c r="I7" s="4">
        <f t="shared" si="5"/>
        <v>58332.8</v>
      </c>
    </row>
    <row r="8">
      <c r="A8" s="3">
        <v>2012.0</v>
      </c>
      <c r="B8" s="3">
        <v>24.8</v>
      </c>
      <c r="C8" s="3">
        <v>2.44</v>
      </c>
      <c r="D8" s="3">
        <v>17822.0</v>
      </c>
      <c r="E8" s="4">
        <f t="shared" si="1"/>
        <v>317623684</v>
      </c>
      <c r="F8" s="4">
        <f t="shared" si="2"/>
        <v>5.9536</v>
      </c>
      <c r="G8" s="4">
        <f t="shared" si="3"/>
        <v>60.512</v>
      </c>
      <c r="H8" s="4">
        <f t="shared" si="4"/>
        <v>441985.6</v>
      </c>
      <c r="I8" s="4">
        <f t="shared" si="5"/>
        <v>43485.68</v>
      </c>
    </row>
    <row r="9">
      <c r="A9" s="3">
        <v>2013.0</v>
      </c>
      <c r="B9" s="3">
        <v>26.1</v>
      </c>
      <c r="C9" s="3">
        <v>1.42</v>
      </c>
      <c r="D9" s="3">
        <v>17691.0</v>
      </c>
      <c r="E9" s="4">
        <f t="shared" si="1"/>
        <v>312971481</v>
      </c>
      <c r="F9" s="4">
        <f t="shared" si="2"/>
        <v>2.0164</v>
      </c>
      <c r="G9" s="4">
        <f t="shared" si="3"/>
        <v>37.062</v>
      </c>
      <c r="H9" s="4">
        <f t="shared" si="4"/>
        <v>461735.1</v>
      </c>
      <c r="I9" s="4">
        <f t="shared" si="5"/>
        <v>25121.22</v>
      </c>
    </row>
    <row r="10">
      <c r="A10" s="3">
        <v>2014.0</v>
      </c>
      <c r="B10" s="3">
        <v>24.4</v>
      </c>
      <c r="C10" s="3">
        <v>-0.15</v>
      </c>
      <c r="D10" s="3">
        <v>18029.0</v>
      </c>
      <c r="E10" s="4">
        <f t="shared" si="1"/>
        <v>325044841</v>
      </c>
      <c r="F10" s="4">
        <f t="shared" si="2"/>
        <v>0.0225</v>
      </c>
      <c r="G10" s="4">
        <f t="shared" si="3"/>
        <v>-3.66</v>
      </c>
      <c r="H10" s="4">
        <f t="shared" si="4"/>
        <v>439907.6</v>
      </c>
      <c r="I10" s="4">
        <f t="shared" si="5"/>
        <v>-2704.35</v>
      </c>
    </row>
    <row r="11">
      <c r="A11" s="3">
        <v>2015.0</v>
      </c>
      <c r="B11" s="3">
        <v>22.1</v>
      </c>
      <c r="C11" s="3">
        <v>-0.5</v>
      </c>
      <c r="D11" s="3">
        <v>18828.0</v>
      </c>
      <c r="E11" s="4">
        <f t="shared" si="1"/>
        <v>354493584</v>
      </c>
      <c r="F11" s="4">
        <f t="shared" si="2"/>
        <v>0.25</v>
      </c>
      <c r="G11" s="4">
        <f t="shared" si="3"/>
        <v>-11.05</v>
      </c>
      <c r="H11" s="4">
        <f t="shared" si="4"/>
        <v>416098.8</v>
      </c>
      <c r="I11" s="4">
        <f t="shared" si="5"/>
        <v>-9414</v>
      </c>
    </row>
    <row r="12">
      <c r="B12" s="5">
        <f t="shared" ref="B12:I12" si="6">SUM(B2:B11)</f>
        <v>184.6</v>
      </c>
      <c r="C12" s="5">
        <f t="shared" si="6"/>
        <v>18.32</v>
      </c>
      <c r="D12" s="5">
        <f t="shared" si="6"/>
        <v>185533</v>
      </c>
      <c r="E12" s="5">
        <f t="shared" si="6"/>
        <v>3445640897</v>
      </c>
      <c r="F12" s="5">
        <f t="shared" si="6"/>
        <v>58.6478</v>
      </c>
      <c r="G12" s="5">
        <f t="shared" si="6"/>
        <v>281.085</v>
      </c>
      <c r="H12" s="5">
        <f t="shared" si="6"/>
        <v>3394730.4</v>
      </c>
      <c r="I12" s="5">
        <f t="shared" si="6"/>
        <v>342434.73</v>
      </c>
    </row>
    <row r="17">
      <c r="B17" s="6" t="s">
        <v>9</v>
      </c>
      <c r="C17" s="3">
        <v>10.0</v>
      </c>
      <c r="D17" s="4">
        <f t="shared" ref="D17:E17" si="7">C12</f>
        <v>18.32</v>
      </c>
      <c r="E17" s="4">
        <f t="shared" si="7"/>
        <v>185533</v>
      </c>
    </row>
    <row r="18">
      <c r="C18" s="4">
        <f>D17</f>
        <v>18.32</v>
      </c>
      <c r="D18" s="4">
        <f>F12</f>
        <v>58.6478</v>
      </c>
      <c r="E18" s="4">
        <f>I12</f>
        <v>342434.73</v>
      </c>
    </row>
    <row r="19">
      <c r="C19" s="4">
        <f>D12</f>
        <v>185533</v>
      </c>
      <c r="D19" s="4">
        <f>I12</f>
        <v>342434.73</v>
      </c>
      <c r="E19" s="4">
        <f>E12</f>
        <v>3445640897</v>
      </c>
    </row>
    <row r="22">
      <c r="B22" s="7" t="s">
        <v>10</v>
      </c>
      <c r="C22" s="4">
        <f>B12</f>
        <v>184.6</v>
      </c>
    </row>
    <row r="23">
      <c r="C23" s="4">
        <f>G12</f>
        <v>281.085</v>
      </c>
    </row>
    <row r="24">
      <c r="C24" s="4">
        <f>H12</f>
        <v>3394730.4</v>
      </c>
    </row>
    <row r="26">
      <c r="B26" s="6" t="s">
        <v>11</v>
      </c>
      <c r="C26" s="4">
        <f t="array" ref="C26:E28">MINVERSE(C17:E19)</f>
        <v>107.8631735</v>
      </c>
      <c r="D26" s="4">
        <v>0.5198752491917028</v>
      </c>
      <c r="E26" s="4">
        <v>-0.005859636018851488</v>
      </c>
    </row>
    <row r="27">
      <c r="C27" s="4">
        <v>0.5198752491917066</v>
      </c>
      <c r="D27" s="4">
        <v>0.04312974879347119</v>
      </c>
      <c r="E27" s="4">
        <v>-3.2279376120762655E-5</v>
      </c>
    </row>
    <row r="28">
      <c r="B28" s="8"/>
      <c r="C28" s="4">
        <v>-0.005859636018851489</v>
      </c>
      <c r="D28" s="4">
        <v>-3.227937612076246E-5</v>
      </c>
      <c r="E28" s="4">
        <v>3.190145060935103E-7</v>
      </c>
    </row>
    <row r="30">
      <c r="B30" s="6" t="s">
        <v>12</v>
      </c>
      <c r="C30" s="4">
        <f t="array" ref="C30:C32">MMULT(C26:E28,C22:C24)</f>
        <v>165.7864349</v>
      </c>
    </row>
    <row r="31">
      <c r="C31" s="4">
        <v>-1.4876829697851974</v>
      </c>
    </row>
    <row r="32">
      <c r="C32" s="4">
        <v>-0.007793815640264379</v>
      </c>
    </row>
    <row r="57">
      <c r="B57" s="6" t="s">
        <v>10</v>
      </c>
    </row>
    <row r="65">
      <c r="B65" s="6" t="s">
        <v>13</v>
      </c>
    </row>
    <row r="78">
      <c r="B78" s="6" t="s">
        <v>14</v>
      </c>
    </row>
  </sheetData>
  <drawing r:id="rId1"/>
  <tableParts count="1">
    <tablePart r:id="rId3"/>
  </tableParts>
</worksheet>
</file>